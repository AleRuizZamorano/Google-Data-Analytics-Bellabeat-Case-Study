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Activity_merged.csv" sheetId="1" r:id="rId5"/>
    <sheet state="visible" name="Pivot Table 5" sheetId="2" r:id="rId6"/>
    <sheet state="visible" name="Pivot Table 4" sheetId="3" r:id="rId7"/>
    <sheet state="visible" name="Suma de Pasos" sheetId="4" r:id="rId8"/>
  </sheets>
  <definedNames>
    <definedName hidden="1" localSheetId="0" name="_xlnm._FilterDatabase">dailyActivity_merged.csv!$A$1:$AA$397</definedName>
    <definedName hidden="1" localSheetId="1" name="_xlnm._FilterDatabase">'Pivot Table 5'!$A$1:$Z$37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<sst xmlns="http://schemas.openxmlformats.org/spreadsheetml/2006/main" count="108" uniqueCount="51">
  <si>
    <t>Id</t>
  </si>
  <si>
    <t>ActivityDate</t>
  </si>
  <si>
    <t>día de la semana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</si>
  <si>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</si>
  <si>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</si>
  <si>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</si>
  <si>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</si>
  <si>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</si>
  <si>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</si>
  <si>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</si>
  <si>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</si>
  <si>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</si>
  <si>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</si>
  <si>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</si>
  <si>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</si>
  <si>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</si>
  <si>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 xml:space="preserve"> </t>
  </si>
  <si>
    <t>3/30/2016</t>
  </si>
  <si>
    <t>3/25/2016</t>
  </si>
  <si>
    <t>3/29/2016</t>
  </si>
  <si>
    <t>3/31/2016</t>
  </si>
  <si>
    <t>3/27/2016</t>
  </si>
  <si>
    <t>3/28/2016</t>
  </si>
  <si>
    <t>3/26/2016</t>
  </si>
  <si>
    <t>3/18/2016</t>
  </si>
  <si>
    <t>3/24/2016</t>
  </si>
  <si>
    <t>3/14/2016</t>
  </si>
  <si>
    <t>3/13/2016</t>
  </si>
  <si>
    <t>3/19/2016</t>
  </si>
  <si>
    <t>3/15/2016</t>
  </si>
  <si>
    <t>3/23/2016</t>
  </si>
  <si>
    <t>3/22/2016</t>
  </si>
  <si>
    <t>3/21/2016</t>
  </si>
  <si>
    <t>3/17/2016</t>
  </si>
  <si>
    <t>3/20/2016</t>
  </si>
  <si>
    <t>3/16/2016</t>
  </si>
  <si>
    <t>AVERAGE of TotalSteps</t>
  </si>
  <si>
    <t>AVERAGE of SedentaryMinutes</t>
  </si>
  <si>
    <t>menor a 5000</t>
  </si>
  <si>
    <t>de 5000 a 7499</t>
  </si>
  <si>
    <t>de 7500 a 9999</t>
  </si>
  <si>
    <t>mayor a 10000</t>
  </si>
  <si>
    <t>Grand Total</t>
  </si>
  <si>
    <t>AVERAGE of Calories</t>
  </si>
  <si>
    <t>Friday</t>
  </si>
  <si>
    <t>Monday</t>
  </si>
  <si>
    <t>Saturday</t>
  </si>
  <si>
    <t>Sunday</t>
  </si>
  <si>
    <t>Thursday</t>
  </si>
  <si>
    <t>Tuesday</t>
  </si>
  <si>
    <t>Wednesday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</si>
</sst>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5'!$A$2:$A$1000</c:f>
            </c:strRef>
          </c:cat>
          <c:val>
            <c:numRef>
              <c:f>'Pivot Table 5'!$B$2:$B$1000</c:f>
              <c:numCache/>
            </c:numRef>
          </c:val>
        </c:ser>
        <c:ser>
          <c:idx val="1"/>
          <c:order val="1"/>
          <c:tx>
            <c:strRef>
              <c:f>'Pivot Table 5'!$C$1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5'!$A$2:$A$1000</c:f>
            </c:strRef>
          </c:cat>
          <c:val>
            <c:numRef>
              <c:f>'Pivot Table 5'!$C$2:$C$1000</c:f>
              <c:numCache/>
            </c:numRef>
          </c:val>
        </c:ser>
        <c:axId val="423167383"/>
        <c:axId val="358343127"/>
      </c:barChart>
      <c:catAx>
        <c:axId val="423167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343127"/>
      </c:catAx>
      <c:valAx>
        <c:axId val="358343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167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5'!$K$6:$K$9</c:f>
            </c:strRef>
          </c:cat>
          <c:val>
            <c:numRef>
              <c:f>'Pivot Table 5'!$L$6:$L$9</c:f>
              <c:numCache/>
            </c:numRef>
          </c:val>
        </c:ser>
        <c:axId val="1911745688"/>
        <c:axId val="1953797693"/>
      </c:barChart>
      <c:catAx>
        <c:axId val="1911745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797693"/>
      </c:catAx>
      <c:valAx>
        <c:axId val="1953797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7456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TotalSteps, AVERAGE of Calories y AVERAGE of TotalDistance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4'!$A$2:$A$10</c:f>
            </c:strRef>
          </c:cat>
          <c:val>
            <c:numRef>
              <c:f>'Pivot Table 4'!$B$2:$B$10</c:f>
              <c:numCache/>
            </c:numRef>
          </c:val>
        </c:ser>
        <c:ser>
          <c:idx val="1"/>
          <c:order val="1"/>
          <c:tx>
            <c:strRef>
              <c:f>'Pivot Table 4'!$C$1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4'!$A$2:$A$10</c:f>
            </c:strRef>
          </c:cat>
          <c:val>
            <c:numRef>
              <c:f>'Pivot Table 4'!$C$2:$C$10</c:f>
              <c:numCache/>
            </c:numRef>
          </c:val>
        </c:ser>
        <c:ser>
          <c:idx val="2"/>
          <c:order val="2"/>
          <c:tx>
            <c:strRef>
              <c:f>'Pivot Table 4'!$D$1</c:f>
            </c:strRef>
          </c:tx>
          <c:cat>
            <c:strRef>
              <c:f>'Pivot Table 4'!$A$2:$A$10</c:f>
            </c:strRef>
          </c:cat>
          <c:val>
            <c:numRef>
              <c:f>'Pivot Table 4'!$D$2:$D$10</c:f>
              <c:numCache/>
            </c:numRef>
          </c:val>
        </c:ser>
        <c:axId val="617126463"/>
        <c:axId val="2041019054"/>
      </c:barChart>
      <c:catAx>
        <c:axId val="617126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 de la 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019054"/>
      </c:catAx>
      <c:valAx>
        <c:axId val="2041019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1264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0</xdr:row>
      <xdr:rowOff>200025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47625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847725</xdr:colOff>
      <xdr:row>0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939" sheet="dailyActivity_merged.csv"/>
  </cacheSource>
  <cacheFields>
    <cacheField name="Id" numFmtId="0">
      <sharedItems containsString="0" containsBlank="1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2.891001357E9"/>
        <n v="3.372868164E9"/>
        <n v="3.977333714E9"/>
        <n v="4.02033265E9"/>
        <n v="4.057192912E9"/>
        <n v="4.319703577E9"/>
        <n v="4.445114986E9"/>
        <n v="4.558609924E9"/>
        <n v="4.702921684E9"/>
        <n v="5.553957443E9"/>
        <n v="5.577150313E9"/>
        <n v="6.11766616E9"/>
        <n v="6.290855005E9"/>
        <n v="6.391747486E9"/>
        <n v="6.775888955E9"/>
        <n v="6.962181067E9"/>
        <n v="7.007744171E9"/>
        <n v="7.086361926E9"/>
        <n v="8.053475328E9"/>
        <n v="8.253242879E9"/>
        <n v="8.3785632E9"/>
        <n v="8.583815059E9"/>
        <n v="8.792009665E9"/>
        <n v="8.877689391E9"/>
        <m/>
      </sharedItems>
    </cacheField>
    <cacheField name="ActivityDate">
      <sharedItems containsDate="1" containsBlank="1" containsMixedTypes="1">
        <d v="2016-12-04T00:00:00Z"/>
        <d v="2016-03-04T00:00:00Z"/>
        <d v="2016-10-04T00:00:00Z"/>
        <d v="2016-07-04T00:00:00Z"/>
        <s v="3/30/2016"/>
        <d v="2016-11-04T00:00:00Z"/>
        <s v="3/25/2016"/>
        <d v="2016-02-04T00:00:00Z"/>
        <d v="2016-06-04T00:00:00Z"/>
        <s v="3/29/2016"/>
        <s v="3/31/2016"/>
        <d v="2016-01-04T00:00:00Z"/>
        <d v="2016-09-04T00:00:00Z"/>
        <d v="2016-08-04T00:00:00Z"/>
        <s v="3/27/2016"/>
        <s v="3/28/2016"/>
        <d v="2016-04-04T00:00:00Z"/>
        <d v="2016-05-04T00:00:00Z"/>
        <s v="3/26/2016"/>
        <s v="3/18/2016"/>
        <s v="3/24/2016"/>
        <s v="3/14/2016"/>
        <s v="3/13/2016"/>
        <d v="2016-12-03T00:00:00Z"/>
        <s v="3/19/2016"/>
        <s v="3/15/2016"/>
        <s v="3/23/2016"/>
        <s v="3/22/2016"/>
        <s v="3/21/2016"/>
        <s v="3/17/2016"/>
        <s v="3/20/2016"/>
        <s v="3/16/2016"/>
        <m/>
      </sharedItems>
    </cacheField>
    <cacheField name="día de la semana" numFmtId="164">
      <sharedItems containsBlank="1">
        <s v="Sunday"/>
        <s v="Friday"/>
        <s v="Tuesday"/>
        <s v="Monday"/>
        <s v="Wednesday"/>
        <s v="Thursday"/>
        <s v="Saturday"/>
        <m/>
      </sharedItems>
    </cacheField>
    <cacheField name="TotalSteps" numFmtId="0">
      <sharedItems containsString="0" containsBlank="1" containsNumber="1" containsInteger="1">
        <n v="224.0"/>
        <n v="10016.0"/>
        <n v="10057.0"/>
        <n v="10198.0"/>
        <n v="10970.0"/>
        <n v="10990.0"/>
        <n v="11004.0"/>
        <n v="11248.0"/>
        <n v="11974.0"/>
        <n v="12041.0"/>
        <n v="12256.0"/>
        <n v="12262.0"/>
        <n v="12432.0"/>
        <n v="12521.0"/>
        <n v="12736.0"/>
        <n v="13231.0"/>
        <n v="14557.0"/>
        <n v="14844.0"/>
        <n v="17609.0"/>
        <n v="815.0"/>
        <n v="1004.0"/>
        <n v="1111.0"/>
        <n v="1335.0"/>
        <n v="1552.0"/>
        <n v="1556.0"/>
        <n v="1675.0"/>
        <n v="1810.0"/>
        <n v="1905.0"/>
        <n v="1985.0"/>
        <n v="2910.0"/>
        <n v="3572.0"/>
        <n v="3910.0"/>
        <n v="4506.0"/>
        <n v="6344.0"/>
        <n v="6627.0"/>
        <n v="9218.0"/>
        <n v="10000.0"/>
        <n v="18464.0"/>
        <n v="1329.0"/>
        <n v="2819.0"/>
        <n v="4636.0"/>
        <n v="7842.0"/>
        <n v="8046.0"/>
        <n v="9921.0"/>
        <n v="11166.0"/>
        <n v="12912.0"/>
        <n v="13840.0"/>
        <n v="20237.0"/>
        <n v="7.0"/>
        <n v="2841.0"/>
        <n v="4979.0"/>
        <n v="5316.0"/>
        <n v="5367.0"/>
        <n v="5430.0"/>
        <n v="6556.0"/>
        <n v="6847.0"/>
        <n v="24.0"/>
        <n v="519.0"/>
        <n v="768.0"/>
        <n v="1209.0"/>
        <n v="1259.0"/>
        <n v="2105.0"/>
        <n v="2234.0"/>
        <n v="2352.0"/>
        <n v="2523.0"/>
        <n v="3198.0"/>
        <n v="4317.0"/>
        <n v="5662.0"/>
        <n v="5477.0"/>
        <n v="6717.0"/>
        <n v="10005.0"/>
        <n v="10106.0"/>
        <n v="10805.0"/>
        <n v="11144.0"/>
        <n v="13023.0"/>
        <n v="13603.0"/>
        <n v="15313.0"/>
        <n v="15392.0"/>
        <n v="16267.0"/>
        <n v="18247.0"/>
        <n v="1019.0"/>
        <n v="1229.0"/>
        <n v="2308.0"/>
        <n v="2605.0"/>
        <n v="2767.0"/>
        <n v="3098.0"/>
        <n v="3180.0"/>
        <n v="3279.0"/>
        <n v="3762.0"/>
        <n v="5142.0"/>
        <n v="5645.0"/>
        <n v="6679.0"/>
        <n v="1846.0"/>
        <n v="2098.0"/>
        <n v="2277.0"/>
        <n v="3417.0"/>
        <n v="4863.0"/>
        <n v="4931.0"/>
        <n v="6999.0"/>
        <n v="11230.0"/>
        <n v="6760.0"/>
        <n v="7485.0"/>
        <n v="8328.0"/>
        <n v="10001.0"/>
        <n v="10078.0"/>
        <n v="10114.0"/>
        <n v="10209.0"/>
        <n v="10254.0"/>
        <n v="10272.0"/>
        <n v="10320.0"/>
        <n v="10533.0"/>
        <n v="11107.0"/>
        <n v="15459.0"/>
        <n v="16081.0"/>
        <n v="890.0"/>
        <n v="2214.0"/>
        <n v="5290.0"/>
        <n v="7157.0"/>
        <n v="7350.0"/>
        <n v="7497.0"/>
        <n v="7640.0"/>
        <n v="8432.0"/>
        <n v="9353.0"/>
        <n v="9713.0"/>
        <n v="14103.0"/>
        <n v="2063.0"/>
        <n v="4126.0"/>
        <n v="4460.0"/>
        <n v="4662.0"/>
        <n v="4706.0"/>
        <n v="5551.0"/>
        <n v="5785.0"/>
        <n v="5861.0"/>
        <n v="6406.0"/>
        <n v="7392.0"/>
        <n v="7625.0"/>
        <n v="8827.0"/>
        <n v="759.0"/>
        <n v="3108.0"/>
        <n v="3573.0"/>
        <n v="4499.0"/>
        <n v="7618.0"/>
        <n v="8422.0"/>
        <n v="10226.0"/>
        <n v="11508.0"/>
        <n v="11943.0"/>
        <n v="12303.0"/>
        <n v="14583.0"/>
        <n v="15425.0"/>
        <n v="8.0"/>
        <n v="368.0"/>
        <n v="1951.0"/>
        <n v="2106.0"/>
        <n v="2993.0"/>
        <n v="3023.0"/>
        <n v="3226.0"/>
        <n v="4152.0"/>
        <n v="4299.0"/>
        <n v="4370.0"/>
        <n v="5129.0"/>
        <n v="5351.0"/>
        <n v="5400.0"/>
        <n v="5543.0"/>
        <n v="5563.0"/>
        <n v="5702.0"/>
        <n v="5906.0"/>
        <n v="6107.0"/>
        <n v="6309.0"/>
        <n v="6429.0"/>
        <n v="6581.0"/>
        <n v="6662.0"/>
        <n v="6880.0"/>
        <n v="7144.0"/>
        <n v="7428.0"/>
        <n v="7476.0"/>
        <n v="7734.0"/>
        <n v="8778.0"/>
        <n v="8940.0"/>
        <n v="10330.0"/>
        <n v="10480.0"/>
        <n v="12483.0"/>
        <n v="4.0"/>
        <n v="18.0"/>
        <n v="44.0"/>
        <n v="187.0"/>
        <n v="949.0"/>
        <n v="1650.0"/>
        <n v="2139.0"/>
        <n v="2275.0"/>
        <n v="2660.0"/>
        <n v="3434.0"/>
        <n v="5137.0"/>
        <n v="5419.0"/>
        <n v="5561.0"/>
        <n v="6801.0"/>
        <n v="7239.0"/>
        <n v="8426.0"/>
        <n v="8433.0"/>
        <n v="5643.0"/>
        <n v="6544.0"/>
        <n v="8144.0"/>
        <n v="8223.0"/>
        <n v="8359.0"/>
        <n v="8405.0"/>
        <n v="9043.0"/>
        <n v="9130.0"/>
        <n v="9343.0"/>
        <n v="10067.0"/>
        <n v="10946.0"/>
        <n v="278.0"/>
        <n v="2303.0"/>
        <n v="2422.0"/>
        <n v="2600.0"/>
        <n v="3146.0"/>
        <n v="3271.0"/>
        <n v="4195.0"/>
        <n v="4239.0"/>
        <n v="4804.0"/>
        <n v="5406.0"/>
        <n v="5986.0"/>
        <n v="6625.0"/>
        <n v="6667.0"/>
        <n v="6911.0"/>
        <n v="1260.0"/>
        <n v="3183.0"/>
        <n v="5336.0"/>
        <n v="5512.0"/>
        <n v="5668.0"/>
        <n v="6176.0"/>
        <n v="6263.0"/>
        <n v="6799.0"/>
        <n v="7998.0"/>
        <n v="8205.0"/>
        <n v="8828.0"/>
        <n v="6499.0"/>
        <n v="6506.0"/>
        <n v="6585.0"/>
        <n v="6670.0"/>
        <n v="6963.0"/>
        <n v="7165.0"/>
        <n v="7583.0"/>
        <n v="7605.0"/>
        <n v="7810.0"/>
        <n v="8184.0"/>
        <n v="10328.0"/>
        <n v="11135.0"/>
        <n v="12116.0"/>
        <n v="14002.0"/>
        <n v="1515.0"/>
        <n v="2937.0"/>
        <n v="3436.0"/>
        <n v="4599.0"/>
        <n v="5594.0"/>
        <n v="8921.0"/>
        <n v="9938.0"/>
        <n v="11306.0"/>
        <n v="11906.0"/>
        <n v="12252.0"/>
        <n v="12409.0"/>
        <n v="15444.0"/>
        <n v="2862.0"/>
        <n v="4363.0"/>
        <n v="7401.0"/>
        <n v="8964.0"/>
        <n v="9776.0"/>
        <n v="9917.0"/>
        <n v="10461.0"/>
        <n v="10494.0"/>
        <n v="11080.0"/>
        <n v="14873.0"/>
        <n v="4853.0"/>
        <n v="7444.0"/>
        <n v="8468.0"/>
        <n v="8955.0"/>
        <n v="9910.0"/>
        <n v="10789.0"/>
        <n v="19658.0"/>
        <n v="6633.0"/>
        <n v="9548.0"/>
        <n v="165.0"/>
        <n v="2101.0"/>
        <n v="9766.0"/>
        <n v="14.0"/>
        <n v="1577.0"/>
        <n v="1988.0"/>
        <n v="4131.0"/>
        <n v="7225.0"/>
        <n v="9348.0"/>
        <n v="11761.0"/>
        <n v="13987.0"/>
        <n v="5893.0"/>
        <n v="10148.0"/>
        <n v="10467.0"/>
        <n v="12010.0"/>
        <n v="12307.0"/>
        <n v="12362.0"/>
        <n v="12437.0"/>
        <n v="12480.0"/>
        <n v="12495.0"/>
        <n v="13417.0"/>
        <n v="14097.0"/>
        <n v="14400.0"/>
        <n v="15491.0"/>
        <n v="18952.0"/>
        <n v="7413.0"/>
        <n v="10146.0"/>
        <n v="10345.0"/>
        <n v="10976.0"/>
        <n v="11680.0"/>
        <n v="12084.0"/>
        <n v="12168.0"/>
        <n v="12627.0"/>
        <n v="13513.0"/>
        <n v="14100.0"/>
        <n v="15266.0"/>
        <n v="16806.0"/>
        <n v="87.0"/>
        <n v="430.0"/>
        <n v="569.0"/>
        <n v="1949.0"/>
        <n v="6101.0"/>
        <n v="6242.0"/>
        <n v="7338.0"/>
        <n v="7352.0"/>
        <n v="7478.0"/>
        <n v="9634.0"/>
        <n v="11463.0"/>
        <n v="14604.0"/>
        <n v="290.0"/>
        <n v="10118.0"/>
        <n v="11159.0"/>
        <n v="11693.0"/>
        <n v="16064.0"/>
        <n v="16435.0"/>
        <n v="17078.0"/>
        <n v="17167.0"/>
        <n v="17395.0"/>
        <n v="20188.0"/>
        <n v="25701.0"/>
        <n v="1636.0"/>
        <n v="1931.0"/>
        <n v="2545.0"/>
        <n v="5181.0"/>
        <n v="5360.0"/>
        <n v="12026.0"/>
        <n v="2240.0"/>
        <n v="2631.0"/>
        <n v="3246.0"/>
        <n v="3358.0"/>
        <n v="8350.0"/>
        <n v="8837.0"/>
        <n v="9124.0"/>
        <n v="9152.0"/>
        <n v="9725.0"/>
        <n v="12846.0"/>
        <n v="13935.0"/>
        <n v="14179.0"/>
        <n v="1408.0"/>
        <n v="2174.0"/>
        <n v="2380.0"/>
        <n v="2816.0"/>
        <n v="3159.0"/>
        <n v="3494.0"/>
        <n v="6835.0"/>
        <n v="20.0"/>
        <n v="178.0"/>
        <n v="1022.0"/>
        <n v="1291.0"/>
        <n v="1467.0"/>
        <n v="2121.0"/>
        <n v="2332.0"/>
        <n v="3821.0"/>
        <n v="4592.0"/>
        <n v="4605.0"/>
        <n v="7238.0"/>
        <n v="8452.0"/>
        <n v="2350.0"/>
        <n v="10622.0"/>
        <n v="10695.0"/>
        <n v="10910.0"/>
        <n v="15260.0"/>
        <n v="16470.0"/>
        <n v="18700.0"/>
        <n v="20779.0"/>
        <n v="23014.0"/>
        <n v="24136.0"/>
        <n v="27572.0"/>
        <n v="28497.0"/>
        <m/>
      </sharedItems>
    </cacheField>
    <cacheField name="TotalDistance" numFmtId="0">
      <sharedItems containsString="0" containsBlank="1" containsNumber="1">
        <n v="0.140000000596046"/>
        <n v="6.36999988555908"/>
        <n v="6.98000001907349"/>
        <n v="6.44000005722046"/>
        <n v="7.15999984741211"/>
        <n v="7.26000022888184"/>
        <n v="7.1100001335144"/>
        <n v="7.25"/>
        <n v="7.67000007629395"/>
        <n v="7.84999990463257"/>
        <n v="7.8600001335144"/>
        <n v="7.86999988555908"/>
        <n v="8.10000038146973"/>
        <n v="7.94000005722046"/>
        <n v="8.52999973297119"/>
        <n v="8.93000030517578"/>
        <n v="9.80000019073486"/>
        <n v="9.72999954223633"/>
        <n v="11.5500001907349"/>
        <n v="0.529999971389771"/>
        <n v="0.649999976158142"/>
        <n v="0.720000028610229"/>
        <n v="0.870000004768372"/>
        <n v="1.00999999046326"/>
        <n v="1.0900000333786"/>
        <n v="1.17999994754791"/>
        <n v="1.24000000953674"/>
        <n v="1.28999996185303"/>
        <n v="1.88999998569489"/>
        <n v="2.3199999332428"/>
        <n v="2.53999996185303"/>
        <n v="2.9300000667572"/>
        <n v="4.11999988555908"/>
        <n v="4.30999994277954"/>
        <n v="5.98999977111816"/>
        <n v="6.5"/>
        <n v="12.0"/>
        <n v="0.970000028610229"/>
        <n v="2.04999995231628"/>
        <n v="3.41000008583069"/>
        <n v="5.69999980926514"/>
        <n v="5.84999990463257"/>
        <n v="7.21000003814697"/>
        <n v="8.11999988555908"/>
        <n v="9.40999984741211"/>
        <n v="10.0600004196167"/>
        <n v="14.710000038147"/>
        <n v="0.0"/>
        <n v="1.87999999523163"/>
        <n v="3.28999996185303"/>
        <n v="3.50999999046326"/>
        <n v="3.54999995231628"/>
        <n v="3.58999991416931"/>
        <n v="4.19000005722046"/>
        <n v="4.34000015258789"/>
        <n v="4.53000020980835"/>
        <n v="0.0199999995529652"/>
        <n v="0.360000014305115"/>
        <n v="0.839999973773956"/>
        <n v="1.46000003814697"/>
        <n v="1.54999995231628"/>
        <n v="1.62999999523163"/>
        <n v="1.75"/>
        <n v="2.21000003814697"/>
        <n v="2.99000000953674"/>
        <n v="3.92000007629395"/>
        <n v="3.83999991416931"/>
        <n v="4.71999979019165"/>
        <n v="7.01999998092651"/>
        <n v="7.09000015258789"/>
        <n v="7.59000015258789"/>
        <n v="7.82000017166138"/>
        <n v="9.26000022888184"/>
        <n v="9.60000038146973"/>
        <n v="11.0"/>
        <n v="10.9300003051758"/>
        <n v="12.5900001525879"/>
        <n v="13.8299999237061"/>
        <n v="0.629999995231628"/>
        <n v="0.759999990463257"/>
        <n v="1.42999994754791"/>
        <n v="1.62000000476837"/>
        <n v="1.72000002861023"/>
        <n v="1.91999995708466"/>
        <n v="1.97000002861023"/>
        <n v="2.02999997138977"/>
        <n v="2.32999992370605"/>
        <n v="3.19000005722046"/>
        <n v="3.5"/>
        <n v="4.1399998664856"/>
        <n v="1.4099999666214"/>
        <n v="1.52999997138977"/>
        <n v="2.29999995231628"/>
        <n v="3.27999997138977"/>
        <n v="3.3199999332428"/>
        <n v="4.46999979019165"/>
        <n v="4.94999980926514"/>
        <n v="5.51000022888184"/>
        <n v="6.6100001335144"/>
        <n v="6.82999992370605"/>
        <n v="6.82000017166138"/>
        <n v="6.75"/>
        <n v="6.80000019073486"/>
        <n v="6.78999996185303"/>
        <n v="6.84999990463257"/>
        <n v="7.09999990463257"/>
        <n v="7.34000015258789"/>
        <n v="10.2200002670288"/>
        <n v="10.6300001144409"/>
        <n v="0.600000023841858"/>
        <n v="1.49000000953674"/>
        <n v="4.80999994277954"/>
        <n v="4.94000005722046"/>
        <n v="5.03999996185303"/>
        <n v="5.13000011444092"/>
        <n v="5.67000007629395"/>
        <n v="6.30999994277954"/>
        <n v="6.53000020980835"/>
        <n v="9.5600004196167"/>
        <n v="1.61000001430511"/>
        <n v="3.22000002861023"/>
        <n v="3.03999996185303"/>
        <n v="3.1800000667572"/>
        <n v="3.21000003814697"/>
        <n v="3.78999996185303"/>
        <n v="3.95000004768372"/>
        <n v="4.01999998092651"/>
        <n v="4.3899998664856"/>
        <n v="5.09999990463257"/>
        <n v="5.23000001907349"/>
        <n v="6.25"/>
        <n v="0.569999992847443"/>
        <n v="2.14000010490417"/>
        <n v="2.39000010490417"/>
        <n v="3.00999999046326"/>
        <n v="5.63000011444092"/>
        <n v="6.84000015258789"/>
        <n v="7.69999980926514"/>
        <n v="7.98999977111816"/>
        <n v="8.22999954223633"/>
        <n v="9.76000022888184"/>
        <n v="10.3199996948242"/>
        <n v="0.00999999977648258"/>
        <n v="0.259999990463257"/>
        <n v="1.50999999046326"/>
        <n v="2.15000009536743"/>
        <n v="2.17000007629395"/>
        <n v="2.30999994277954"/>
        <n v="2.98000001907349"/>
        <n v="3.09999990463257"/>
        <n v="3.13000011444092"/>
        <n v="3.6800000667572"/>
        <n v="3.86999988555908"/>
        <n v="3.97000002861023"/>
        <n v="3.99000000953674"/>
        <n v="4.09000015258789"/>
        <n v="4.23000001907349"/>
        <n v="4.38000011444092"/>
        <n v="4.51999998092651"/>
        <n v="4.59999990463257"/>
        <n v="4.78000020980835"/>
        <n v="4.92999982833862"/>
        <n v="5.11999988555908"/>
        <n v="5.32999992370605"/>
        <n v="5.3600001335144"/>
        <n v="5.55000019073486"/>
        <n v="6.28999996185303"/>
        <n v="6.40999984741211"/>
        <n v="7.40999984741211"/>
        <n v="7.51000022888184"/>
        <n v="8.98999977111816"/>
        <n v="0.0299999993294477"/>
        <n v="0.689999997615814"/>
        <n v="1.21000003814697"/>
        <n v="1.55999994277954"/>
        <n v="1.67999994754791"/>
        <n v="1.94000005722046"/>
        <n v="2.50999999046326"/>
        <n v="3.75999999046326"/>
        <n v="4.0"/>
        <n v="4.98000001907349"/>
        <n v="5.34000015258789"/>
        <n v="6.15999984741211"/>
        <n v="6.23000001907349"/>
        <n v="4.40999984741211"/>
        <n v="5.46000003814697"/>
        <n v="5.51999998092651"/>
        <n v="5.65999984741211"/>
        <n v="6.07000017166138"/>
        <n v="6.15000009536743"/>
        <n v="6.26999998092651"/>
        <n v="6.76000022888184"/>
        <n v="7.34999990463257"/>
        <n v="0.189999997615814"/>
        <n v="1.74000000953674"/>
        <n v="2.10999989509583"/>
        <n v="2.19000005722046"/>
        <n v="2.80999994277954"/>
        <n v="2.83999991416931"/>
        <n v="3.63000011444092"/>
        <n v="3.72000002861023"/>
        <n v="4.13000011444092"/>
        <n v="4.44999980926514"/>
        <n v="4.6100001335144"/>
        <n v="0.829999983310699"/>
        <n v="2.09999990463257"/>
        <n v="2.76999998092651"/>
        <n v="3.52999997138977"/>
        <n v="3.64000010490417"/>
        <n v="3.75"/>
        <n v="4.07999992370605"/>
        <n v="4.48999977111816"/>
        <n v="5.28999996185303"/>
        <n v="5.42000007629395"/>
        <n v="5.84000015258789"/>
        <n v="5.26999998092651"/>
        <n v="5.28000020980835"/>
        <n v="5.40999984741211"/>
        <n v="5.65000009536743"/>
        <n v="5.80999994277954"/>
        <n v="6.17999982833862"/>
        <n v="6.3600001335144"/>
        <n v="6.6399998664856"/>
        <n v="8.38000011444092"/>
        <n v="9.02999973297119"/>
        <n v="9.82999992370605"/>
        <n v="11.3599996566772"/>
        <n v="0.990000009536743"/>
        <n v="2.24000000953674"/>
        <n v="3.0"/>
        <n v="3.65000009536743"/>
        <n v="5.88000011444092"/>
        <n v="6.48999977111816"/>
        <n v="7.38000011444092"/>
        <n v="7.76999998092651"/>
        <n v="8.0"/>
        <n v="10.0799999237061"/>
        <n v="3.25999999046326"/>
        <n v="3.35999989509583"/>
        <n v="5.55999994277954"/>
        <n v="6.69999980926514"/>
        <n v="7.84000015258789"/>
        <n v="8.30000019073486"/>
        <n v="11.1099996566772"/>
        <n v="3.66000008583069"/>
        <n v="5.61999988555908"/>
        <n v="6.3899998664856"/>
        <n v="7.48000001907349"/>
        <n v="8.14999961853027"/>
        <n v="9.36999988555908"/>
        <n v="14.8400001525879"/>
        <n v="5.01000022888184"/>
        <n v="7.21999979019165"/>
        <n v="0.129999995231628"/>
        <n v="1.12999999523163"/>
        <n v="2.96000003814697"/>
        <n v="5.17999982833862"/>
        <n v="8.43000030517578"/>
        <n v="10.0299997329712"/>
        <n v="3.90000009536743"/>
        <n v="6.71000003814697"/>
        <n v="8.14000034332275"/>
        <n v="9.09000015258789"/>
        <n v="8.85999965667725"/>
        <n v="8.26000022888184"/>
        <n v="9.64999961853027"/>
        <n v="9.31999969482422"/>
        <n v="10.8800001144409"/>
        <n v="10.2399997711182"/>
        <n v="12.8000001907349"/>
        <n v="5.76999998092651"/>
        <n v="6.92000007629395"/>
        <n v="9.0600004196167"/>
        <n v="9.14000034332275"/>
        <n v="10.25"/>
        <n v="10.5799999237061"/>
        <n v="11.3999996185303"/>
        <n v="11.2399997711182"/>
        <n v="0.349999994039536"/>
        <n v="1.30999994277954"/>
        <n v="4.67000007629395"/>
        <n v="4.73000001907349"/>
        <n v="4.98999977111816"/>
        <n v="6.51999998092651"/>
        <n v="10.8199996948242"/>
        <n v="0.209999993443489"/>
        <n v="7.73000001907349"/>
        <n v="9.53999996185303"/>
        <n v="12.7200002670288"/>
        <n v="12.4200000762939"/>
        <n v="13.1999998092651"/>
        <n v="13.4099998474121"/>
        <n v="13.210000038147"/>
        <n v="15.6199998855591"/>
        <n v="20.1399993896484"/>
        <n v="1.08000004291534"/>
        <n v="1.27999997138977"/>
        <n v="3.42000007629395"/>
        <n v="3.53999996185303"/>
        <n v="9.14999961853027"/>
        <n v="1.77999997138977"/>
        <n v="2.08999991416931"/>
        <n v="2.5699999332428"/>
        <n v="2.66000008583069"/>
        <n v="6.61999988555908"/>
        <n v="7.01000022888184"/>
        <n v="7.23999977111816"/>
        <n v="7.71000003814697"/>
        <n v="10.1899995803833"/>
        <n v="11.0500001907349"/>
        <n v="1.10000002384186"/>
        <n v="1.63999998569489"/>
        <n v="1.70000004768372"/>
        <n v="1.86000001430511"/>
        <n v="2.20000004768372"/>
        <n v="2.46000003814697"/>
        <n v="2.73000001907349"/>
        <n v="0.109999999403954"/>
        <n v="0.939999997615814"/>
        <n v="1.36000001430511"/>
        <n v="2.45000004768372"/>
        <n v="2.94000005722046"/>
        <n v="2.95000004768372"/>
        <n v="4.63000011444092"/>
        <n v="8.0600004196167"/>
        <n v="8.42000007629395"/>
        <n v="8.1899995803833"/>
        <n v="8.06999969482422"/>
        <n v="15.8199996948242"/>
        <n v="18.4099998474121"/>
        <n v="20.3899993896484"/>
        <n v="20.9099998474121"/>
        <n v="23.3899993896484"/>
        <n v="27.5300006866455"/>
        <m/>
      </sharedItems>
    </cacheField>
    <cacheField name="TrackerDistance" numFmtId="0">
      <sharedItems containsString="0" containsBlank="1" containsNumber="1">
        <n v="0.140000000596046"/>
        <n v="6.36999988555908"/>
        <n v="6.98000001907349"/>
        <n v="6.44000005722046"/>
        <n v="7.15999984741211"/>
        <n v="7.26000022888184"/>
        <n v="7.1100001335144"/>
        <n v="7.25"/>
        <n v="7.67000007629395"/>
        <n v="7.84999990463257"/>
        <n v="7.8600001335144"/>
        <n v="7.86999988555908"/>
        <n v="8.10000038146973"/>
        <n v="7.94000005722046"/>
        <n v="8.52999973297119"/>
        <n v="8.93000030517578"/>
        <n v="9.80000019073486"/>
        <n v="9.72999954223633"/>
        <n v="11.5500001907349"/>
        <n v="0.529999971389771"/>
        <n v="0.649999976158142"/>
        <n v="0.720000028610229"/>
        <n v="0.870000004768372"/>
        <n v="1.00999999046326"/>
        <n v="1.0900000333786"/>
        <n v="1.17999994754791"/>
        <n v="1.24000000953674"/>
        <n v="1.28999996185303"/>
        <n v="1.88999998569489"/>
        <n v="2.3199999332428"/>
        <n v="2.53999996185303"/>
        <n v="2.9300000667572"/>
        <n v="4.11999988555908"/>
        <n v="4.30999994277954"/>
        <n v="5.98999977111816"/>
        <n v="6.5"/>
        <n v="12.0"/>
        <n v="0.970000028610229"/>
        <n v="2.04999995231628"/>
        <n v="3.41000008583069"/>
        <n v="5.69999980926514"/>
        <n v="5.84999990463257"/>
        <n v="7.21000003814697"/>
        <n v="8.11999988555908"/>
        <n v="9.40999984741211"/>
        <n v="10.0600004196167"/>
        <n v="14.710000038147"/>
        <n v="0.0"/>
        <n v="1.87999999523163"/>
        <n v="3.28999996185303"/>
        <n v="3.50999999046326"/>
        <n v="3.54999995231628"/>
        <n v="3.58999991416931"/>
        <n v="4.19000005722046"/>
        <n v="4.34000015258789"/>
        <n v="4.53000020980835"/>
        <n v="0.0199999995529652"/>
        <n v="0.360000014305115"/>
        <n v="0.839999973773956"/>
        <n v="1.46000003814697"/>
        <n v="1.54999995231628"/>
        <n v="1.62999999523163"/>
        <n v="1.75"/>
        <n v="2.21000003814697"/>
        <n v="2.99000000953674"/>
        <n v="3.92000007629395"/>
        <n v="3.83999991416931"/>
        <n v="4.71999979019165"/>
        <n v="7.01999998092651"/>
        <n v="7.09000015258789"/>
        <n v="7.59000015258789"/>
        <n v="7.82000017166138"/>
        <n v="9.26000022888184"/>
        <n v="9.60000038146973"/>
        <n v="11.0"/>
        <n v="10.9300003051758"/>
        <n v="12.5900001525879"/>
        <n v="13.8299999237061"/>
        <n v="0.629999995231628"/>
        <n v="0.759999990463257"/>
        <n v="1.42999994754791"/>
        <n v="1.62000000476837"/>
        <n v="1.72000002861023"/>
        <n v="1.91999995708466"/>
        <n v="1.97000002861023"/>
        <n v="2.02999997138977"/>
        <n v="2.32999992370605"/>
        <n v="3.19000005722046"/>
        <n v="3.5"/>
        <n v="4.1399998664856"/>
        <n v="1.4099999666214"/>
        <n v="1.52999997138977"/>
        <n v="2.29999995231628"/>
        <n v="3.27999997138977"/>
        <n v="3.3199999332428"/>
        <n v="4.46999979019165"/>
        <n v="4.94999980926514"/>
        <n v="5.51000022888184"/>
        <n v="6.6100001335144"/>
        <n v="6.82999992370605"/>
        <n v="6.82000017166138"/>
        <n v="6.75"/>
        <n v="6.80000019073486"/>
        <n v="6.78999996185303"/>
        <n v="6.84999990463257"/>
        <n v="7.09999990463257"/>
        <n v="7.34000015258789"/>
        <n v="10.2200002670288"/>
        <n v="10.6300001144409"/>
        <n v="0.600000023841858"/>
        <n v="1.49000000953674"/>
        <n v="4.80999994277954"/>
        <n v="4.94000005722046"/>
        <n v="5.03999996185303"/>
        <n v="5.13000011444092"/>
        <n v="5.67000007629395"/>
        <n v="6.30999994277954"/>
        <n v="6.53000020980835"/>
        <n v="9.5600004196167"/>
        <n v="3.03999996185303"/>
        <n v="3.1800000667572"/>
        <n v="3.21000003814697"/>
        <n v="3.78999996185303"/>
        <n v="3.95000004768372"/>
        <n v="4.01999998092651"/>
        <n v="4.3899998664856"/>
        <n v="5.09999990463257"/>
        <n v="5.23000001907349"/>
        <n v="6.25"/>
        <n v="0.569999992847443"/>
        <n v="2.14000010490417"/>
        <n v="2.39000010490417"/>
        <n v="3.00999999046326"/>
        <n v="5.63000011444092"/>
        <n v="6.84000015258789"/>
        <n v="7.69999980926514"/>
        <n v="7.98999977111816"/>
        <n v="8.22999954223633"/>
        <n v="9.76000022888184"/>
        <n v="10.3199996948242"/>
        <n v="0.00999999977648258"/>
        <n v="0.259999990463257"/>
        <n v="1.50999999046326"/>
        <n v="2.15000009536743"/>
        <n v="2.17000007629395"/>
        <n v="2.30999994277954"/>
        <n v="2.98000001907349"/>
        <n v="3.09999990463257"/>
        <n v="3.13000011444092"/>
        <n v="3.6800000667572"/>
        <n v="3.86999988555908"/>
        <n v="3.97000002861023"/>
        <n v="3.99000000953674"/>
        <n v="4.09000015258789"/>
        <n v="4.23000001907349"/>
        <n v="4.38000011444092"/>
        <n v="4.51999998092651"/>
        <n v="4.59999990463257"/>
        <n v="4.78000020980835"/>
        <n v="4.92999982833862"/>
        <n v="5.11999988555908"/>
        <n v="5.32999992370605"/>
        <n v="5.3600001335144"/>
        <n v="5.55000019073486"/>
        <n v="6.28999996185303"/>
        <n v="6.40999984741211"/>
        <n v="7.40999984741211"/>
        <n v="7.51000022888184"/>
        <n v="8.98999977111816"/>
        <n v="0.0299999993294477"/>
        <n v="0.689999997615814"/>
        <n v="1.21000003814697"/>
        <n v="1.55999994277954"/>
        <n v="1.67999994754791"/>
        <n v="1.94000005722046"/>
        <n v="2.50999999046326"/>
        <n v="3.75999999046326"/>
        <n v="4.57000017166138"/>
        <n v="4.98000001907349"/>
        <n v="5.34000015258789"/>
        <n v="6.15999984741211"/>
        <n v="6.23000001907349"/>
        <n v="4.40999984741211"/>
        <n v="5.46000003814697"/>
        <n v="5.51999998092651"/>
        <n v="5.65999984741211"/>
        <n v="6.07000017166138"/>
        <n v="6.15000009536743"/>
        <n v="6.26999998092651"/>
        <n v="6.76000022888184"/>
        <n v="7.34999990463257"/>
        <n v="0.189999997615814"/>
        <n v="1.74000000953674"/>
        <n v="2.10999989509583"/>
        <n v="2.19000005722046"/>
        <n v="2.80999994277954"/>
        <n v="2.83999991416931"/>
        <n v="3.22000002861023"/>
        <n v="3.63000011444092"/>
        <n v="3.72000002861023"/>
        <n v="4.13000011444092"/>
        <n v="4.44999980926514"/>
        <n v="4.6100001335144"/>
        <n v="0.829999983310699"/>
        <n v="2.09999990463257"/>
        <n v="2.76999998092651"/>
        <n v="3.52999997138977"/>
        <n v="3.64000010490417"/>
        <n v="3.75"/>
        <n v="4.07999992370605"/>
        <n v="4.48999977111816"/>
        <n v="5.28999996185303"/>
        <n v="5.42000007629395"/>
        <n v="5.84000015258789"/>
        <n v="5.26999998092651"/>
        <n v="5.28000020980835"/>
        <n v="5.40999984741211"/>
        <n v="5.65000009536743"/>
        <n v="5.80999994277954"/>
        <n v="6.17999982833862"/>
        <n v="6.3600001335144"/>
        <n v="6.6399998664856"/>
        <n v="8.38000011444092"/>
        <n v="9.02999973297119"/>
        <n v="9.82999992370605"/>
        <n v="11.3599996566772"/>
        <n v="0.990000009536743"/>
        <n v="2.24000000953674"/>
        <n v="3.0"/>
        <n v="3.65000009536743"/>
        <n v="5.88000011444092"/>
        <n v="6.48999977111816"/>
        <n v="7.38000011444092"/>
        <n v="7.76999998092651"/>
        <n v="8.0"/>
        <n v="10.0799999237061"/>
        <n v="3.25999999046326"/>
        <n v="3.35999989509583"/>
        <n v="5.55999994277954"/>
        <n v="6.69999980926514"/>
        <n v="7.84000015258789"/>
        <n v="8.30000019073486"/>
        <n v="11.1099996566772"/>
        <n v="3.66000008583069"/>
        <n v="5.61999988555908"/>
        <n v="6.3899998664856"/>
        <n v="7.48000001907349"/>
        <n v="8.14999961853027"/>
        <n v="9.36999988555908"/>
        <n v="14.8400001525879"/>
        <n v="5.01000022888184"/>
        <n v="7.21999979019165"/>
        <n v="0.129999995231628"/>
        <n v="0.779999971389771"/>
        <n v="1.12999999523163"/>
        <n v="2.96000003814697"/>
        <n v="5.17999982833862"/>
        <n v="8.43000030517578"/>
        <n v="10.0299997329712"/>
        <n v="3.90000009536743"/>
        <n v="6.71000003814697"/>
        <n v="8.14000034332275"/>
        <n v="8.17000007629395"/>
        <n v="8.25"/>
        <n v="8.26000022888184"/>
        <n v="8.86999988555908"/>
        <n v="9.31999969482422"/>
        <n v="9.52000045776367"/>
        <n v="10.2399997711182"/>
        <n v="12.8000001907349"/>
        <n v="4.96000003814697"/>
        <n v="6.92000007629395"/>
        <n v="7.80999994277954"/>
        <n v="8.07999992370605"/>
        <n v="8.44999980926514"/>
        <n v="9.06999969482422"/>
        <n v="9.43000030517578"/>
        <n v="10.210000038147"/>
        <n v="11.2399997711182"/>
        <n v="0.349999994039536"/>
        <n v="1.30999994277954"/>
        <n v="4.67000007629395"/>
        <n v="4.73000001907349"/>
        <n v="4.98999977111816"/>
        <n v="6.51999998092651"/>
        <n v="10.8199996948242"/>
        <n v="0.209999993443489"/>
        <n v="7.73000001907349"/>
        <n v="9.14000034332275"/>
        <n v="9.53999996185303"/>
        <n v="12.7200002670288"/>
        <n v="12.4200000762939"/>
        <n v="13.1999998092651"/>
        <n v="13.4099998474121"/>
        <n v="13.210000038147"/>
        <n v="15.6199998855591"/>
        <n v="20.1399993896484"/>
        <n v="1.08000004291534"/>
        <n v="1.27999997138977"/>
        <n v="3.42000007629395"/>
        <n v="3.53999996185303"/>
        <n v="9.14999961853027"/>
        <n v="1.77999997138977"/>
        <n v="2.08999991416931"/>
        <n v="2.5699999332428"/>
        <n v="2.66000008583069"/>
        <n v="6.61999988555908"/>
        <n v="7.01000022888184"/>
        <n v="7.23999977111816"/>
        <n v="7.71000003814697"/>
        <n v="10.1899995803833"/>
        <n v="11.0500001907349"/>
        <n v="1.10000002384186"/>
        <n v="1.63999998569489"/>
        <n v="1.70000004768372"/>
        <n v="1.86000001430511"/>
        <n v="2.20000004768372"/>
        <n v="2.46000003814697"/>
        <n v="2.73000001907349"/>
        <n v="0.109999999403954"/>
        <n v="0.939999997615814"/>
        <n v="1.36000001430511"/>
        <n v="2.45000004768372"/>
        <n v="2.94000005722046"/>
        <n v="2.95000004768372"/>
        <n v="4.63000011444092"/>
        <n v="8.0600004196167"/>
        <n v="8.42000007629395"/>
        <n v="8.1899995803833"/>
        <n v="8.06999969482422"/>
        <n v="15.8199996948242"/>
        <n v="18.4099998474121"/>
        <n v="20.3899993896484"/>
        <n v="20.9099998474121"/>
        <n v="23.3899993896484"/>
        <n v="27.5300006866455"/>
        <m/>
      </sharedItems>
    </cacheField>
    <cacheField name="LoggedActivitiesDistance" numFmtId="0">
      <sharedItems containsString="0" containsBlank="1" containsNumber="1">
        <n v="0.0"/>
        <n v="1.60934400558472"/>
        <n v="3.21868801116943"/>
        <n v="0.055842999368906"/>
        <n v="2.02777290344238"/>
        <n v="6.72705698013306"/>
        <n v="2.69645500183105"/>
        <n v="3.97279500961304"/>
        <n v="1.92630195617676"/>
        <n v="5.45686388015747"/>
        <n v="4.8697829246521"/>
        <n v="4.901282787323"/>
        <n v="4.83638000488281"/>
        <n v="4.84231996536255"/>
        <n v="4.83572006225586"/>
        <n v="4.87598991394043"/>
        <n v="5.18984985351563"/>
        <n v="2.25308108329773"/>
        <n v="2.0921471118927"/>
        <m/>
      </sharedItems>
    </cacheField>
    <cacheField name="VeryActiveDistance" numFmtId="0">
      <sharedItems containsString="0" containsBlank="1" containsNumber="1">
        <n v="0.0"/>
        <n v="0.910000026226044"/>
        <n v="4.0"/>
        <n v="1.20000004768372"/>
        <n v="2.35999989509583"/>
        <n v="2.03999996185303"/>
        <n v="2.5699999332428"/>
        <n v="3.0"/>
        <n v="2.16000008583069"/>
        <n v="2.28999996185303"/>
        <n v="3.3199999332428"/>
        <n v="2.58999991416931"/>
        <n v="3.30999994277954"/>
        <n v="4.65999984741211"/>
        <n v="3.19000005722046"/>
        <n v="3.39000010490417"/>
        <n v="2.94000005722046"/>
        <n v="6.92000007629395"/>
        <n v="0.469999998807907"/>
        <n v="0.509999990463257"/>
        <n v="0.310000002384186"/>
        <n v="0.479999989271164"/>
        <n v="1.28999996185303"/>
        <n v="0.340000003576279"/>
        <n v="0.209999993443489"/>
        <n v="4.82999992370605"/>
        <n v="1.30999994277954"/>
        <n v="0.610000014305115"/>
        <n v="3.23000001907349"/>
        <n v="0.0799999982118607"/>
        <n v="1.21000003814697"/>
        <n v="0.720000028610229"/>
        <n v="1.78999996185303"/>
        <n v="5.46000003814697"/>
        <n v="5.01999998092651"/>
        <n v="3.4300000667572"/>
        <n v="5.75"/>
        <n v="7.1100001335144"/>
        <n v="0.0599999986588955"/>
        <n v="0.889999985694885"/>
        <n v="0.330000013113022"/>
        <n v="1.01999998092651"/>
        <n v="1.63999998569489"/>
        <n v="0.159999996423721"/>
        <n v="1.41999995708466"/>
        <n v="0.680000007152557"/>
        <n v="1.76999998092651"/>
        <n v="0.899999976158142"/>
        <n v="3.58999991416931"/>
        <n v="1.25"/>
        <n v="0.0399999991059303"/>
        <n v="0.189999997615814"/>
        <n v="0.370000004768372"/>
        <n v="3.01999998092651"/>
        <n v="1.03999996185303"/>
        <n v="1.29999995231628"/>
        <n v="0.779999971389771"/>
        <n v="0.870000004768372"/>
        <n v="1.67999994754791"/>
        <n v="0.0700000002980232"/>
        <n v="0.939999997615814"/>
        <n v="2.17000007629395"/>
        <n v="1.02999997138977"/>
        <n v="1.71000003814697"/>
        <n v="2.48000001907349"/>
        <n v="1.62000000476837"/>
        <n v="0.0199999995529652"/>
        <n v="0.0900000035762787"/>
        <n v="0.180000007152557"/>
        <n v="0.620000004768372"/>
        <n v="0.5"/>
        <n v="1.1599999666214"/>
        <n v="0.409999996423721"/>
        <n v="1.45000004768372"/>
        <n v="0.550000011920929"/>
        <n v="0.129999995231628"/>
        <n v="2.45000004768372"/>
        <n v="0.230000004172325"/>
        <n v="0.28999999165535"/>
        <n v="0.25"/>
        <n v="0.800000011920929"/>
        <n v="1.12999999523163"/>
        <n v="0.959999978542328"/>
        <n v="0.360000014305115"/>
        <n v="0.540000021457672"/>
        <n v="1.95000004768372"/>
        <n v="2.01999998092651"/>
        <n v="2.3199999332428"/>
        <n v="1.5900000333786"/>
        <n v="1.24000000953674"/>
        <n v="0.280000001192093"/>
        <n v="2.0699999332428"/>
        <n v="2.14000010490417"/>
        <n v="2.30999994277954"/>
        <n v="2.25999999046326"/>
        <n v="2.41000008583069"/>
        <n v="2.90000009536743"/>
        <n v="3.26999998092651"/>
        <n v="3.97000002861023"/>
        <n v="2.9300000667572"/>
        <n v="1.99000000953674"/>
        <n v="4.76000022888184"/>
        <n v="4.90999984741211"/>
        <n v="3.13000011444092"/>
        <n v="8.1899995803833"/>
        <n v="0.239999994635582"/>
        <n v="2.02999997138977"/>
        <n v="1.37000000476837"/>
        <n v="1.73000001907349"/>
        <n v="2.86999988555908"/>
        <n v="2.88000011444092"/>
        <n v="1.36000001430511"/>
        <n v="0.699999988079071"/>
        <n v="2.38000011444092"/>
        <n v="1.00999999046326"/>
        <n v="1.0900000333786"/>
        <n v="3.75999999046326"/>
        <n v="4.17999982833862"/>
        <n v="2.21000003814697"/>
        <n v="3.5"/>
        <n v="2.47000002861023"/>
        <n v="5.90999984741211"/>
        <n v="4.5"/>
        <n v="4.48999977111816"/>
        <n v="4.3899998664856"/>
        <n v="1.04999995231628"/>
        <n v="4.69999980926514"/>
        <n v="5.34999990463257"/>
        <n v="5.09999990463257"/>
        <n v="5.80000019073486"/>
        <n v="6.40999984741211"/>
        <n v="0.529999971389771"/>
        <n v="0.740000009536743"/>
        <n v="1.08000004291534"/>
        <n v="1.4099999666214"/>
        <n v="1.79999995231628"/>
        <n v="2.5"/>
        <n v="2.82999992370605"/>
        <n v="7.23000001907349"/>
        <n v="3.04999995231628"/>
        <n v="6.69000005722046"/>
        <n v="6.76999998092651"/>
        <n v="9.97999954223633"/>
        <n v="8.96000003814697"/>
        <n v="9.97000026702881"/>
        <n v="9.96000003814697"/>
        <n v="9.67000007629395"/>
        <n v="12.0600004196167"/>
        <n v="16.8199996948242"/>
        <n v="1.0"/>
        <n v="5.69999980926514"/>
        <n v="0.829999983310699"/>
        <n v="1.49000000953674"/>
        <n v="1.53999996185303"/>
        <n v="5.0"/>
        <n v="4.09000015258789"/>
        <n v="6.23000001907349"/>
        <n v="0.100000001490116"/>
        <n v="0.00999999977648258"/>
        <n v="0.109999999403954"/>
        <n v="0.259999990463257"/>
        <n v="1.47000002861023"/>
        <n v="0.769999980926514"/>
        <n v="2.96000003814697"/>
        <n v="8.69999980926514"/>
        <n v="11.7299995422363"/>
        <n v="11.1000003814697"/>
        <n v="12.2200002670288"/>
        <n v="14.7200002670288"/>
        <n v="21.9200000762939"/>
        <m/>
      </sharedItems>
    </cacheField>
    <cacheField name="ModeratelyActiveDistance" numFmtId="0">
      <sharedItems containsString="0" containsBlank="1" containsNumber="1">
        <n v="0.0"/>
        <n v="1.27999997138977"/>
        <n v="0.490000009536743"/>
        <n v="0.790000021457672"/>
        <n v="0.509999990463257"/>
        <n v="0.569999992847443"/>
        <n v="0.46000000834465"/>
        <n v="0.449999988079071"/>
        <n v="0.479999989271164"/>
        <n v="1.0900000333786"/>
        <n v="0.829999983310699"/>
        <n v="0.589999973773956"/>
        <n v="0.899999976158142"/>
        <n v="0.159999996423721"/>
        <n v="0.699999988079071"/>
        <n v="0.759999990463257"/>
        <n v="0.730000019073486"/>
        <n v="0.25"/>
        <n v="0.270000010728836"/>
        <n v="0.170000001788139"/>
        <n v="0.779999971389771"/>
        <n v="2.41000008583069"/>
        <n v="2.11999988555908"/>
        <n v="1.51999998092651"/>
        <n v="0.769999980926514"/>
        <n v="3.72000002861023"/>
        <n v="6.40000009536743"/>
        <n v="0.370000004768372"/>
        <n v="0.219999998807907"/>
        <n v="1.04999995231628"/>
        <n v="0.560000002384186"/>
        <n v="0.980000019073486"/>
        <n v="0.889999985694885"/>
        <n v="0.629999995231628"/>
        <n v="1.28999996185303"/>
        <n v="1.75"/>
        <n v="0.469999998807907"/>
        <n v="2.21000003814697"/>
        <n v="0.419999986886978"/>
        <n v="0.119999997317791"/>
        <n v="2.0"/>
        <n v="2.9300000667572"/>
        <n v="0.349999994039536"/>
        <n v="1.23000001907349"/>
        <n v="3.11999988555908"/>
        <n v="2.05999994277954"/>
        <n v="2.75999999046326"/>
        <n v="0.810000002384186"/>
        <n v="1.82000005245209"/>
        <n v="0.340000003576279"/>
        <n v="0.800000011920929"/>
        <n v="0.689999997615814"/>
        <n v="0.409999996423721"/>
        <n v="0.150000005960464"/>
        <n v="0.0900000035762787"/>
        <n v="0.0399999991059303"/>
        <n v="0.180000007152557"/>
        <n v="3.59999990463257"/>
        <n v="4.44000005722046"/>
        <n v="0.839999973773956"/>
        <n v="2.00999999046326"/>
        <n v="1.35000002384186"/>
        <n v="1.74000000953674"/>
        <n v="0.0500000007450581"/>
        <n v="0.209999993443489"/>
        <n v="0.239999994635582"/>
        <n v="0.949999988079071"/>
        <n v="0.28999999165535"/>
        <n v="0.920000016689301"/>
        <n v="1.47000002861023"/>
        <n v="1.29999995231628"/>
        <n v="0.300000011920929"/>
        <n v="0.360000014305115"/>
        <n v="5.48999977111816"/>
        <n v="0.330000013113022"/>
        <n v="0.259999990463257"/>
        <n v="0.610000014305115"/>
        <n v="1.50999999046326"/>
        <n v="0.529999971389771"/>
        <n v="0.189999997615814"/>
        <n v="0.430000007152557"/>
        <n v="0.379999995231628"/>
        <n v="0.850000023841858"/>
        <n v="1.41999995708466"/>
        <n v="2.08999991416931"/>
        <n v="0.230000004172325"/>
        <n v="0.100000001490116"/>
        <n v="0.860000014305115"/>
        <n v="0.550000011920929"/>
        <n v="1.20000004768372"/>
        <n v="0.620000004768372"/>
        <n v="1.46000003814697"/>
        <n v="1.1599999666214"/>
        <n v="2.84999990463257"/>
        <n v="2.6800000667572"/>
        <n v="0.670000016689301"/>
        <n v="1.48000001907349"/>
        <n v="0.439999997615814"/>
        <n v="1.70000004768372"/>
        <n v="1.73000001907349"/>
        <n v="0.0599999986588955"/>
        <n v="1.42999994754791"/>
        <n v="0.970000028610229"/>
        <n v="1.37000000476837"/>
        <n v="0.600000023841858"/>
        <n v="0.639999985694885"/>
        <n v="3.6800000667572"/>
        <n v="1.26999998092651"/>
        <n v="2.03999996185303"/>
        <n v="2.44000005722046"/>
        <n v="3.33999991416931"/>
        <n v="2.4300000667572"/>
        <n v="3.25999999046326"/>
        <n v="2.73000001907349"/>
        <n v="1.25"/>
        <n v="1.91999995708466"/>
        <n v="2.88000011444092"/>
        <n v="4.48999977111816"/>
        <n v="0.740000009536743"/>
        <n v="1.19000005722046"/>
        <n v="0.129999995231628"/>
        <n v="1.39999997615814"/>
        <n v="1.88999998569489"/>
        <n v="1.12000000476837"/>
        <n v="0.310000002384186"/>
        <n v="1.62999999523163"/>
        <n v="0.910000026226044"/>
        <n v="1.54999995231628"/>
        <n v="0.930000007152557"/>
        <n v="0.709999978542328"/>
        <n v="0.879999995231628"/>
        <n v="0.819999992847443"/>
        <n v="0.75"/>
        <n v="1.05999994277954"/>
        <n v="0.140000000596046"/>
        <n v="0.389999985694885"/>
        <n v="0.0199999995529652"/>
        <n v="0.649999976158142"/>
        <n v="0.540000021457672"/>
        <n v="1.21000003814697"/>
        <m/>
      </sharedItems>
    </cacheField>
    <cacheField name="LightActiveDistance" numFmtId="0">
      <sharedItems containsString="0" containsBlank="1" containsNumber="1">
        <n v="0.129999995231628"/>
        <n v="4.17999982833862"/>
        <n v="2.48000001907349"/>
        <n v="4.44999980926514"/>
        <n v="4.28999996185303"/>
        <n v="4.65000009536743"/>
        <n v="4.07000017166138"/>
        <n v="3.74000000953674"/>
        <n v="5.15000009536743"/>
        <n v="4.6100001335144"/>
        <n v="5.03999996185303"/>
        <n v="3.64000010490417"/>
        <n v="4.92000007629395"/>
        <n v="3.71000003814697"/>
        <n v="4.94999980926514"/>
        <n v="5.69000005722046"/>
        <n v="6.03999996185303"/>
        <n v="3.91000008583069"/>
        <n v="0.529999971389771"/>
        <n v="0.649999976158142"/>
        <n v="0.720000028610229"/>
        <n v="0.870000004768372"/>
        <n v="1.0"/>
        <n v="1.00999999046326"/>
        <n v="1.0900000333786"/>
        <n v="1.12999999523163"/>
        <n v="1.24000000953674"/>
        <n v="1.27999997138977"/>
        <n v="1.87999999523163"/>
        <n v="2.28999996185303"/>
        <n v="1.80999994277954"/>
        <n v="2.15000009536743"/>
        <n v="4.09999990463257"/>
        <n v="4.30999994277954"/>
        <n v="5.96999979019165"/>
        <n v="6.5"/>
        <n v="12.0"/>
        <n v="0.970000028610229"/>
        <n v="1.55999994277954"/>
        <n v="2.59999990463257"/>
        <n v="2.80999994277954"/>
        <n v="2.45000004768372"/>
        <n v="5.3600001335144"/>
        <n v="5.5"/>
        <n v="3.78999996185303"/>
        <n v="5.03000020980835"/>
        <n v="5.73000001907349"/>
        <n v="0.0"/>
        <n v="3.28999996185303"/>
        <n v="3.50999999046326"/>
        <n v="3.54999995231628"/>
        <n v="3.58999991416931"/>
        <n v="4.19000005722046"/>
        <n v="4.32999992370605"/>
        <n v="0.0199999995529652"/>
        <n v="0.360000014305115"/>
        <n v="0.839999973773956"/>
        <n v="1.46000003814697"/>
        <n v="1.54999995231628"/>
        <n v="1.62999999523163"/>
        <n v="1.37999999523163"/>
        <n v="2.21000003814697"/>
        <n v="2.61999988555908"/>
        <n v="3.92000007629395"/>
        <n v="3.83999991416931"/>
        <n v="1.26999998092651"/>
        <n v="5.90000009536743"/>
        <n v="5.32999992370605"/>
        <n v="5.8899998664856"/>
        <n v="5.1399998664856"/>
        <n v="5.46999979019165"/>
        <n v="4.69000005722046"/>
        <n v="5.75"/>
        <n v="6.36999988555908"/>
        <n v="4.51000022888184"/>
        <n v="0.629999995231628"/>
        <n v="0.759999990463257"/>
        <n v="1.42999994754791"/>
        <n v="1.62000000476837"/>
        <n v="1.72000002861023"/>
        <n v="1.91999995708466"/>
        <n v="1.97000002861023"/>
        <n v="2.02999997138977"/>
        <n v="2.32999992370605"/>
        <n v="3.19000005722046"/>
        <n v="3.5"/>
        <n v="4.1399998664856"/>
        <n v="1.4099999666214"/>
        <n v="1.52999997138977"/>
        <n v="2.29999995231628"/>
        <n v="2.79999995231628"/>
        <n v="3.3199999332428"/>
        <n v="4.71999979019165"/>
        <n v="6.65999984741211"/>
        <n v="4.46999979019165"/>
        <n v="3.35999989509583"/>
        <n v="4.67999982833862"/>
        <n v="6.23000001907349"/>
        <n v="4.15999984741211"/>
        <n v="4.94000005722046"/>
        <n v="3.26999998092651"/>
        <n v="3.6800000667572"/>
        <n v="5.82000017166138"/>
        <n v="7.55999994277954"/>
        <n v="0.600000023841858"/>
        <n v="1.49000000953674"/>
        <n v="3.17000007629395"/>
        <n v="4.80999994277954"/>
        <n v="4.15000009536743"/>
        <n v="5.65000009536743"/>
        <n v="5.23999977111816"/>
        <n v="5.28999996185303"/>
        <n v="6.1399998664856"/>
        <n v="1.61000001430511"/>
        <n v="3.22000002861023"/>
        <n v="3.01999998092651"/>
        <n v="1.99000000953674"/>
        <n v="3.21000003814697"/>
        <n v="3.76999998092651"/>
        <n v="2.49000000953674"/>
        <n v="3.51999998092651"/>
        <n v="4.05000019073486"/>
        <n v="4.0"/>
        <n v="0.569999992847443"/>
        <n v="1.96000003814697"/>
        <n v="3.00999999046326"/>
        <n v="4.90999984741211"/>
        <n v="2.03999996185303"/>
        <n v="2.40000009536743"/>
        <n v="5.17000007629395"/>
        <n v="5.53000020980835"/>
        <n v="6.86999988555908"/>
        <n v="0.00999999977648258"/>
        <n v="0.209999993443489"/>
        <n v="2.08999991416931"/>
        <n v="2.14000010490417"/>
        <n v="2.27999997138977"/>
        <n v="2.96000003814697"/>
        <n v="2.74000000953674"/>
        <n v="3.84999990463257"/>
        <n v="3.96000003814697"/>
        <n v="4.03999996185303"/>
        <n v="4.3600001335144"/>
        <n v="3.65000009536743"/>
        <n v="4.3899998664856"/>
        <n v="5.30999994277954"/>
        <n v="3.8199999332428"/>
        <n v="0.610000014305115"/>
        <n v="5.01000022888184"/>
        <n v="6.90000009536743"/>
        <n v="0.0299999993294477"/>
        <n v="0.140000000596046"/>
        <n v="0.689999997615814"/>
        <n v="1.21000003814697"/>
        <n v="0.259999990463257"/>
        <n v="1.6599999666214"/>
        <n v="1.94000005722046"/>
        <n v="3.75999999046326"/>
        <n v="4.96999979019165"/>
        <n v="4.38000011444092"/>
        <n v="0.540000021457672"/>
        <n v="3.44000005722046"/>
        <n v="3.23000001907349"/>
        <n v="3.85999989509583"/>
        <n v="4.86999988555908"/>
        <n v="4.34000015258789"/>
        <n v="5.36999988555908"/>
        <n v="5.26999998092651"/>
        <n v="4.46000003814697"/>
        <n v="0.189999997615814"/>
        <n v="1.74000000953674"/>
        <n v="2.10999989509583"/>
        <n v="2.19000005722046"/>
        <n v="2.52999997138977"/>
        <n v="3.60999989509583"/>
        <n v="3.72000002861023"/>
        <n v="1.95000004768372"/>
        <n v="2.54999995231628"/>
        <n v="2.35999989509583"/>
        <n v="0.819999992847443"/>
        <n v="2.09999990463257"/>
        <n v="2.76999998092651"/>
        <n v="3.52999997138977"/>
        <n v="3.75"/>
        <n v="4.13000011444092"/>
        <n v="4.53000020980835"/>
        <n v="5.42000007629395"/>
        <n v="5.84000015258789"/>
        <n v="4.67000007629395"/>
        <n v="5.34000015258789"/>
        <n v="3.36999988555908"/>
        <n v="5.44000005722046"/>
        <n v="5.34999990463257"/>
        <n v="5.63000011444092"/>
        <n v="5.94999980926514"/>
        <n v="6.92000007629395"/>
        <n v="7.78999996185303"/>
        <n v="6.71999979019165"/>
        <n v="8.0600004196167"/>
        <n v="0.990000009536743"/>
        <n v="1.9099999666214"/>
        <n v="1.04999995231628"/>
        <n v="3.0"/>
        <n v="1.88999998569489"/>
        <n v="3.07999992370605"/>
        <n v="4.09000015258789"/>
        <n v="3.99000000953674"/>
        <n v="3.89000010490417"/>
        <n v="4.57999992370605"/>
        <n v="5.07999992370605"/>
        <n v="2.88000011444092"/>
        <n v="4.44000005722046"/>
        <n v="2.25"/>
        <n v="3.80999994277954"/>
        <n v="2.30999994277954"/>
        <n v="3.66000008583069"/>
        <n v="5.61999988555908"/>
        <n v="5.57000017166138"/>
        <n v="6.73000001907349"/>
        <n v="7.48000001907349"/>
        <n v="8.14999961853027"/>
        <n v="9.36999988555908"/>
        <n v="12.5100002288818"/>
        <n v="1.51999998092651"/>
        <n v="7.46000003814697"/>
        <n v="0.170000001788139"/>
        <n v="0.980000019073486"/>
        <n v="2.1800000667572"/>
        <n v="3.14000010490417"/>
        <n v="0.46000000834465"/>
        <n v="5.13000011444092"/>
        <n v="3.86999988555908"/>
        <n v="3.24000000953674"/>
        <n v="4.96000003814697"/>
        <n v="3.90000009536743"/>
        <n v="5.65999984741211"/>
        <n v="0.939999997615814"/>
        <n v="6.1100001335144"/>
        <n v="6.57999992370605"/>
        <n v="6.13000011444092"/>
        <n v="4.23999977111816"/>
        <n v="6.28999996185303"/>
        <n v="4.21000003814697"/>
        <n v="4.55999994277954"/>
        <n v="4.28000020980835"/>
        <n v="4.78999996185303"/>
        <n v="3.47000002861023"/>
        <n v="0.340000003576279"/>
        <n v="0.730000019073486"/>
        <n v="3.09999990463257"/>
        <n v="2.9300000667572"/>
        <n v="3.46000003814697"/>
        <n v="2.60999989509583"/>
        <n v="2.58999991416931"/>
        <n v="2.4300000667572"/>
        <n v="3.88000011444092"/>
        <n v="2.5"/>
        <n v="2.38000011444092"/>
        <n v="2.91000008583069"/>
        <n v="2.99000000953674"/>
        <n v="3.34999990463257"/>
        <n v="2.71000003814697"/>
        <n v="1.69000005722046"/>
        <n v="1.08000004291534"/>
        <n v="1.66999995708466"/>
        <n v="1.50999999046326"/>
        <n v="2.50999999046326"/>
        <n v="1.77999997138977"/>
        <n v="1.02999997138977"/>
        <n v="2.66000008583069"/>
        <n v="4.59000015258789"/>
        <n v="6.98999977111816"/>
        <n v="4.76999998092651"/>
        <n v="6.17000007629395"/>
        <n v="1.10000002384186"/>
        <n v="1.70000004768372"/>
        <n v="1.86000001430511"/>
        <n v="2.20000004768372"/>
        <n v="2.46000003814697"/>
        <n v="2.69000005722046"/>
        <n v="0.109999999403954"/>
        <n v="0.829999983310699"/>
        <n v="1.36000001430511"/>
        <n v="1.29999995231628"/>
        <n v="2.23000001907349"/>
        <n v="2.70000004768372"/>
        <n v="2.95000004768372"/>
        <n v="4.76000022888184"/>
        <n v="7.09000015258789"/>
        <n v="8.02000045776367"/>
        <n v="6.90999984741211"/>
        <n v="6.0"/>
        <n v="8.61999988555908"/>
        <n v="8.07999992370605"/>
        <n v="7.34000015258789"/>
        <m/>
      </sharedItems>
    </cacheField>
    <cacheField name="SedentaryActiveDistance" numFmtId="0">
      <sharedItems containsString="0" containsBlank="1" containsNumber="1">
        <n v="0.0"/>
        <n v="0.00999999977648258"/>
        <n v="0.0299999993294477"/>
        <n v="0.0399999991059303"/>
        <n v="0.0199999995529652"/>
        <n v="0.0599999986588955"/>
        <n v="0.100000001490116"/>
        <n v="0.0500000007450581"/>
        <m/>
      </sharedItems>
    </cacheField>
    <cacheField name="VeryActiveMinutes" numFmtId="0">
      <sharedItems containsString="0" containsBlank="1" containsNumber="1" containsInteger="1">
        <n v="0.0"/>
        <n v="15.0"/>
        <n v="44.0"/>
        <n v="17.0"/>
        <n v="30.0"/>
        <n v="26.0"/>
        <n v="33.0"/>
        <n v="40.0"/>
        <n v="27.0"/>
        <n v="28.0"/>
        <n v="47.0"/>
        <n v="32.0"/>
        <n v="46.0"/>
        <n v="56.0"/>
        <n v="39.0"/>
        <n v="43.0"/>
        <n v="36.0"/>
        <n v="89.0"/>
        <n v="7.0"/>
        <n v="4.0"/>
        <n v="18.0"/>
        <n v="5.0"/>
        <n v="3.0"/>
        <n v="59.0"/>
        <n v="34.0"/>
        <n v="9.0"/>
        <n v="41.0"/>
        <n v="1.0"/>
        <n v="25.0"/>
        <n v="72.0"/>
        <n v="62.0"/>
        <n v="10.0"/>
        <n v="12.0"/>
        <n v="2.0"/>
        <n v="21.0"/>
        <n v="14.0"/>
        <n v="51.0"/>
        <n v="16.0"/>
        <n v="6.0"/>
        <n v="22.0"/>
        <n v="20.0"/>
        <n v="24.0"/>
        <n v="29.0"/>
        <n v="35.0"/>
        <n v="31.0"/>
        <n v="8.0"/>
        <n v="23.0"/>
        <n v="38.0"/>
        <n v="70.0"/>
        <n v="107.0"/>
        <n v="80.0"/>
        <n v="58.0"/>
        <n v="99.0"/>
        <n v="123.0"/>
        <n v="83.0"/>
        <n v="202.0"/>
        <n v="19.0"/>
        <n v="50.0"/>
        <n v="55.0"/>
        <n v="45.0"/>
        <n v="73.0"/>
        <n v="53.0"/>
        <n v="54.0"/>
        <n v="64.0"/>
        <n v="61.0"/>
        <n v="104.0"/>
        <n v="76.0"/>
        <n v="60.0"/>
        <n v="96.0"/>
        <n v="100.0"/>
        <n v="101.0"/>
        <n v="98.0"/>
        <n v="124.0"/>
        <n v="165.0"/>
        <n v="65.0"/>
        <n v="74.0"/>
        <n v="113.0"/>
        <n v="105.0"/>
        <n v="106.0"/>
        <n v="90.0"/>
        <n v="67.0"/>
        <n v="78.0"/>
        <n v="87.0"/>
        <n v="116.0"/>
        <n v="128.0"/>
        <m/>
      </sharedItems>
    </cacheField>
    <cacheField name="FairlyActiveMinutes" numFmtId="0">
      <sharedItems containsString="0" containsBlank="1" containsNumber="1" containsInteger="1">
        <n v="0.0"/>
        <n v="30.0"/>
        <n v="13.0"/>
        <n v="20.0"/>
        <n v="14.0"/>
        <n v="12.0"/>
        <n v="11.0"/>
        <n v="28.0"/>
        <n v="21.0"/>
        <n v="15.0"/>
        <n v="22.0"/>
        <n v="5.0"/>
        <n v="18.0"/>
        <n v="17.0"/>
        <n v="7.0"/>
        <n v="4.0"/>
        <n v="16.0"/>
        <n v="43.0"/>
        <n v="41.0"/>
        <n v="35.0"/>
        <n v="58.0"/>
        <n v="81.0"/>
        <n v="141.0"/>
        <n v="9.0"/>
        <n v="23.0"/>
        <n v="37.0"/>
        <n v="19.0"/>
        <n v="42.0"/>
        <n v="62.0"/>
        <n v="2.0"/>
        <n v="33.0"/>
        <n v="52.0"/>
        <n v="3.0"/>
        <n v="6.0"/>
        <n v="25.0"/>
        <n v="32.0"/>
        <n v="46.0"/>
        <n v="8.0"/>
        <n v="24.0"/>
        <n v="1.0"/>
        <n v="10.0"/>
        <n v="101.0"/>
        <n v="36.0"/>
        <n v="45.0"/>
        <n v="120.0"/>
        <n v="39.0"/>
        <n v="51.0"/>
        <n v="27.0"/>
        <n v="57.0"/>
        <n v="56.0"/>
        <n v="26.0"/>
        <n v="31.0"/>
        <n v="107.0"/>
        <n v="50.0"/>
        <n v="133.0"/>
        <n v="99.0"/>
        <n v="114.0"/>
        <n v="38.0"/>
        <n v="77.0"/>
        <n v="48.0"/>
        <n v="29.0"/>
        <m/>
      </sharedItems>
    </cacheField>
    <cacheField name="LightlyActiveMinutes" numFmtId="0">
      <sharedItems containsString="0" containsBlank="1" containsNumber="1" containsInteger="1">
        <n v="9.0"/>
        <n v="314.0"/>
        <n v="168.0"/>
        <n v="195.0"/>
        <n v="223.0"/>
        <n v="216.0"/>
        <n v="205.0"/>
        <n v="244.0"/>
        <n v="228.0"/>
        <n v="243.0"/>
        <n v="239.0"/>
        <n v="200.0"/>
        <n v="248.0"/>
        <n v="212.0"/>
        <n v="268.0"/>
        <n v="224.0"/>
        <n v="285.0"/>
        <n v="341.0"/>
        <n v="274.0"/>
        <n v="47.0"/>
        <n v="55.0"/>
        <n v="54.0"/>
        <n v="74.0"/>
        <n v="66.0"/>
        <n v="88.0"/>
        <n v="84.0"/>
        <n v="121.0"/>
        <n v="95.0"/>
        <n v="112.0"/>
        <n v="157.0"/>
        <n v="122.0"/>
        <n v="186.0"/>
        <n v="144.0"/>
        <n v="143.0"/>
        <n v="89.0"/>
        <n v="221.0"/>
        <n v="172.0"/>
        <n v="270.0"/>
        <n v="35.0"/>
        <n v="87.0"/>
        <n v="586.0"/>
        <n v="161.0"/>
        <n v="137.0"/>
        <n v="219.0"/>
        <n v="230.0"/>
        <n v="283.0"/>
        <n v="192.0"/>
        <n v="347.0"/>
        <n v="1.0"/>
        <n v="136.0"/>
        <n v="184.0"/>
        <n v="263.0"/>
        <n v="251.0"/>
        <n v="290.0"/>
        <n v="305.0"/>
        <n v="3.0"/>
        <n v="34.0"/>
        <n v="43.0"/>
        <n v="73.0"/>
        <n v="139.0"/>
        <n v="108.0"/>
        <n v="128.0"/>
        <n v="134.0"/>
        <n v="146.0"/>
        <n v="267.0"/>
        <n v="237.0"/>
        <n v="67.0"/>
        <n v="339.0"/>
        <n v="272.0"/>
        <n v="298.0"/>
        <n v="279.0"/>
        <n v="296.0"/>
        <n v="213.0"/>
        <n v="233.0"/>
        <n v="258.0"/>
        <n v="302.0"/>
        <n v="252.0"/>
        <n v="64.0"/>
        <n v="69.0"/>
        <n v="115.0"/>
        <n v="166.0"/>
        <n v="170.0"/>
        <n v="185.0"/>
        <n v="164.0"/>
        <n v="173.0"/>
        <n v="93.0"/>
        <n v="103.0"/>
        <n v="153.0"/>
        <n v="208.0"/>
        <n v="175.0"/>
        <n v="320.0"/>
        <n v="390.0"/>
        <n v="250.0"/>
        <n v="324.0"/>
        <n v="196.0"/>
        <n v="303.0"/>
        <n v="269.0"/>
        <n v="316.0"/>
        <n v="231.0"/>
        <n v="315.0"/>
        <n v="255.0"/>
        <n v="327.0"/>
        <n v="401.0"/>
        <n v="41.0"/>
        <n v="197.0"/>
        <n v="380.0"/>
        <n v="382.0"/>
        <n v="357.0"/>
        <n v="374.0"/>
        <n v="363.0"/>
        <n v="355.0"/>
        <n v="288.0"/>
        <n v="630.0"/>
        <n v="720.0"/>
        <n v="152.0"/>
        <n v="299.0"/>
        <n v="282.0"/>
        <n v="311.0"/>
        <n v="325.0"/>
        <n v="332.0"/>
        <n v="346.0"/>
        <n v="17.0"/>
        <n v="129.0"/>
        <n v="99.0"/>
        <n v="174.0"/>
        <n v="297.0"/>
        <n v="291.0"/>
        <n v="254.0"/>
        <n v="331.0"/>
        <n v="0.0"/>
        <n v="75.0"/>
        <n v="114.0"/>
        <n v="145.0"/>
        <n v="187.0"/>
        <n v="162.0"/>
        <n v="176.0"/>
        <n v="210.0"/>
        <n v="215.0"/>
        <n v="265.0"/>
        <n v="193.0"/>
        <n v="241.0"/>
        <n v="165.0"/>
        <n v="261.0"/>
        <n v="309.0"/>
        <n v="2.0"/>
        <n v="11.0"/>
        <n v="60.0"/>
        <n v="15.0"/>
        <n v="86.0"/>
        <n v="46.0"/>
        <n v="160.0"/>
        <n v="169.0"/>
        <n v="190.0"/>
        <n v="25.0"/>
        <n v="135.0"/>
        <n v="199.0"/>
        <n v="276.0"/>
        <n v="247.0"/>
        <n v="257.0"/>
        <n v="304.0"/>
        <n v="313.0"/>
        <n v="308.0"/>
        <n v="20.0"/>
        <n v="155.0"/>
        <n v="110.0"/>
        <n v="163.0"/>
        <n v="171.0"/>
        <n v="235.0"/>
        <n v="238.0"/>
        <n v="273.0"/>
        <n v="266.0"/>
        <n v="76.0"/>
        <n v="259.0"/>
        <n v="367.0"/>
        <n v="207.0"/>
        <n v="256.0"/>
        <n v="227.0"/>
        <n v="323.0"/>
        <n v="381.0"/>
        <n v="181.0"/>
        <n v="50.0"/>
        <n v="150.0"/>
        <n v="198.0"/>
        <n v="218.0"/>
        <n v="234.0"/>
        <n v="229.0"/>
        <n v="156.0"/>
        <n v="204.0"/>
        <n v="240.0"/>
        <n v="142.0"/>
        <n v="138.0"/>
        <n v="286.0"/>
        <n v="422.0"/>
        <n v="384.0"/>
        <n v="506.0"/>
        <n v="491.0"/>
        <n v="475.0"/>
        <n v="280.0"/>
        <n v="113.0"/>
        <n v="8.0"/>
        <n v="301.0"/>
        <n v="79.0"/>
        <n v="300.0"/>
        <n v="48.0"/>
        <n v="306.0"/>
        <n v="287.0"/>
        <n v="284.0"/>
        <n v="397.0"/>
        <n v="358.0"/>
        <n v="271.0"/>
        <n v="375.0"/>
        <n v="292.0"/>
        <n v="14.0"/>
        <n v="27.0"/>
        <n v="126.0"/>
        <n v="124.0"/>
        <n v="132.0"/>
        <n v="140.0"/>
        <n v="154.0"/>
        <n v="127.0"/>
        <n v="16.0"/>
        <n v="120.0"/>
        <n v="191.0"/>
        <n v="97.0"/>
        <n v="94.0"/>
        <n v="107.0"/>
        <n v="148.0"/>
        <n v="117.0"/>
        <n v="49.0"/>
        <n v="167.0"/>
        <n v="182.0"/>
        <n v="189.0"/>
        <n v="220.0"/>
        <n v="131.0"/>
        <n v="147.0"/>
        <n v="6.0"/>
        <n v="12.0"/>
        <n v="63.0"/>
        <n v="77.0"/>
        <n v="71.0"/>
        <n v="111.0"/>
        <n v="179.0"/>
        <n v="328.0"/>
        <n v="58.0"/>
        <n v="225.0"/>
        <n v="246.0"/>
        <n v="289.0"/>
        <n v="359.0"/>
        <n v="318.0"/>
        <n v="260.0"/>
        <n v="211.0"/>
        <m/>
      </sharedItems>
    </cacheField>
    <cacheField name="SedentaryMinutes" numFmtId="0">
      <sharedItems containsString="0" containsBlank="1" containsNumber="1" containsInteger="1">
        <n v="32.0"/>
        <n v="655.0"/>
        <n v="737.0"/>
        <n v="1208.0"/>
        <n v="1174.0"/>
        <n v="855.0"/>
        <n v="804.0"/>
        <n v="636.0"/>
        <n v="1173.0"/>
        <n v="763.0"/>
        <n v="820.0"/>
        <n v="866.0"/>
        <n v="738.0"/>
        <n v="1160.0"/>
        <n v="605.0"/>
        <n v="1080.0"/>
        <n v="757.0"/>
        <n v="736.0"/>
        <n v="588.0"/>
        <n v="1393.0"/>
        <n v="1385.0"/>
        <n v="1386.0"/>
        <n v="1366.0"/>
        <n v="1374.0"/>
        <n v="1352.0"/>
        <n v="1356.0"/>
        <n v="1319.0"/>
        <n v="1345.0"/>
        <n v="1328.0"/>
        <n v="1283.0"/>
        <n v="1318.0"/>
        <n v="1240.0"/>
        <n v="1285.0"/>
        <n v="1297.0"/>
        <n v="604.0"/>
        <n v="1219.0"/>
        <n v="1268.0"/>
        <n v="1170.0"/>
        <n v="207.0"/>
        <n v="838.0"/>
        <n v="1229.0"/>
        <n v="1244.0"/>
        <n v="1181.0"/>
        <n v="1149.0"/>
        <n v="1082.0"/>
        <n v="918.0"/>
        <n v="1439.0"/>
        <n v="1114.0"/>
        <n v="620.0"/>
        <n v="1177.0"/>
        <n v="1189.0"/>
        <n v="1150.0"/>
        <n v="810.0"/>
        <n v="1171.0"/>
        <n v="161.0"/>
        <n v="1406.0"/>
        <n v="1397.0"/>
        <n v="842.0"/>
        <n v="938.0"/>
        <n v="805.0"/>
        <n v="912.0"/>
        <n v="829.0"/>
        <n v="1250.0"/>
        <n v="1183.0"/>
        <n v="854.0"/>
        <n v="858.0"/>
        <n v="1203.0"/>
        <n v="551.0"/>
        <n v="1077.0"/>
        <n v="1111.0"/>
        <n v="1069.0"/>
        <n v="1092.0"/>
        <n v="1139.0"/>
        <n v="1126.0"/>
        <n v="1093.0"/>
        <n v="1078.0"/>
        <n v="1054.0"/>
        <n v="223.0"/>
        <n v="795.0"/>
        <n v="720.0"/>
        <n v="729.0"/>
        <n v="673.0"/>
        <n v="700.0"/>
        <n v="694.0"/>
        <n v="719.0"/>
        <n v="654.0"/>
        <n v="621.0"/>
        <n v="644.0"/>
        <n v="1347.0"/>
        <n v="617.0"/>
        <n v="1337.0"/>
        <n v="1287.0"/>
        <n v="1220.0"/>
        <n v="1265.0"/>
        <n v="1120.0"/>
        <n v="1038.0"/>
        <n v="613.0"/>
        <n v="491.0"/>
        <n v="788.0"/>
        <n v="463.0"/>
        <n v="696.0"/>
        <n v="711.0"/>
        <n v="638.0"/>
        <n v="1002.0"/>
        <n v="615.0"/>
        <n v="759.0"/>
        <n v="583.0"/>
        <n v="970.0"/>
        <n v="1399.0"/>
        <n v="1243.0"/>
        <n v="1180.0"/>
        <n v="1060.0"/>
        <n v="1058.0"/>
        <n v="882.0"/>
        <n v="1107.0"/>
        <n v="1066.0"/>
        <n v="1055.0"/>
        <n v="1098.0"/>
        <n v="99.0"/>
        <n v="1192.0"/>
        <n v="735.0"/>
        <n v="1141.0"/>
        <n v="1158.0"/>
        <n v="1129.0"/>
        <n v="1094.0"/>
        <n v="1085.0"/>
        <n v="1074.0"/>
        <n v="1063.0"/>
        <n v="187.0"/>
        <n v="894.0"/>
        <n v="815.0"/>
        <n v="685.0"/>
        <n v="748.0"/>
        <n v="710.0"/>
        <n v="697.0"/>
        <n v="614.0"/>
        <n v="321.0"/>
        <n v="1440.0"/>
        <n v="1289.0"/>
        <n v="888.0"/>
        <n v="1005.0"/>
        <n v="771.0"/>
        <n v="1253.0"/>
        <n v="752.0"/>
        <n v="1178.0"/>
        <n v="874.0"/>
        <n v="776.0"/>
        <n v="741.0"/>
        <n v="1191.0"/>
        <n v="1249.0"/>
        <n v="860.0"/>
        <n v="920.0"/>
        <n v="1185.0"/>
        <n v="986.0"/>
        <n v="1125.0"/>
        <n v="599.0"/>
        <n v="1438.0"/>
        <n v="400.0"/>
        <n v="1380.0"/>
        <n v="1354.0"/>
        <n v="1394.0"/>
        <n v="1324.0"/>
        <n v="1280.0"/>
        <n v="1295.0"/>
        <n v="1271.0"/>
        <n v="1247.0"/>
        <n v="1236.0"/>
        <n v="1293.0"/>
        <n v="683.0"/>
        <n v="1132.0"/>
        <n v="702.0"/>
        <n v="668.0"/>
        <n v="578.0"/>
        <n v="569.0"/>
        <n v="253.0"/>
        <n v="807.0"/>
        <n v="1330.0"/>
        <n v="1277.0"/>
        <n v="1269.0"/>
        <n v="898.0"/>
        <n v="758.0"/>
        <n v="786.0"/>
        <n v="672.0"/>
        <n v="941.0"/>
        <n v="789.0"/>
        <n v="755.0"/>
        <n v="939.0"/>
        <n v="745.0"/>
        <n v="555.0"/>
        <n v="1199.0"/>
        <n v="1182.0"/>
        <n v="1164.0"/>
        <n v="886.0"/>
        <n v="1217.0"/>
        <n v="1105.0"/>
        <n v="1073.0"/>
        <n v="809.0"/>
        <n v="760.0"/>
        <n v="770.0"/>
        <n v="708.0"/>
        <n v="742.0"/>
        <n v="746.0"/>
        <n v="808.0"/>
        <n v="475.0"/>
        <n v="528.0"/>
        <n v="471.0"/>
        <n v="407.0"/>
        <n v="507.0"/>
        <n v="356.0"/>
        <n v="61.0"/>
        <n v="552.0"/>
        <n v="754.0"/>
        <n v="767.0"/>
        <n v="772.0"/>
        <n v="688.0"/>
        <n v="782.0"/>
        <n v="731.0"/>
        <n v="209.0"/>
        <n v="813.0"/>
        <n v="756.0"/>
        <n v="689.0"/>
        <n v="721.0"/>
        <n v="601.0"/>
        <n v="695.0"/>
        <n v="663.0"/>
        <n v="568.0"/>
        <n v="1148.0"/>
        <n v="1018.0"/>
        <n v="990.0"/>
        <n v="413.0"/>
        <n v="388.0"/>
        <n v="466.0"/>
        <n v="1195.0"/>
        <n v="1432.0"/>
        <n v="1133.0"/>
        <n v="1414.0"/>
        <n v="909.0"/>
        <n v="1308.0"/>
        <n v="1011.0"/>
        <n v="550.0"/>
        <n v="739.0"/>
        <n v="146.0"/>
        <n v="679.0"/>
        <n v="602.0"/>
        <n v="692.0"/>
        <n v="589.0"/>
        <n v="678.0"/>
        <n v="732.0"/>
        <n v="593.0"/>
        <n v="609.0"/>
        <n v="665.0"/>
        <n v="595.0"/>
        <n v="641.0"/>
        <n v="570.0"/>
        <n v="405.0"/>
        <n v="1030.0"/>
        <n v="1075.0"/>
        <n v="1020.0"/>
        <n v="1015.0"/>
        <n v="1057.0"/>
        <n v="872.0"/>
        <n v="75.0"/>
        <n v="1368.0"/>
        <n v="1404.0"/>
        <n v="717.0"/>
        <n v="814.0"/>
        <n v="1159.0"/>
        <n v="797.0"/>
        <n v="777.0"/>
        <n v="1255.0"/>
        <n v="1221.0"/>
        <n v="1135.0"/>
        <n v="1143.0"/>
        <n v="1123.0"/>
        <n v="1142.0"/>
        <n v="1346.0"/>
        <n v="1314.0"/>
        <n v="1303.0"/>
        <n v="1256.0"/>
        <n v="1230.0"/>
        <n v="843.0"/>
        <n v="727.0"/>
        <n v="243.0"/>
        <n v="657.0"/>
        <n v="868.0"/>
        <n v="811.0"/>
        <n v="728.0"/>
        <n v="600.0"/>
        <n v="670.0"/>
        <n v="686.0"/>
        <n v="658.0"/>
        <n v="1052.0"/>
        <n v="1309.0"/>
        <n v="1302.0"/>
        <n v="1274.0"/>
        <n v="598.0"/>
        <n v="1428.0"/>
        <n v="904.0"/>
        <n v="675.0"/>
        <n v="1261.0"/>
        <n v="1079.0"/>
        <n v="531.0"/>
        <n v="1190.0"/>
        <n v="1138.0"/>
        <n v="982.0"/>
        <n v="1019.0"/>
        <n v="1040.0"/>
        <m/>
      </sharedItems>
    </cacheField>
    <cacheField name="Calories" numFmtId="0">
      <sharedItems containsString="0" containsBlank="1" containsNumber="1" containsInteger="1">
        <n v="50.0"/>
        <n v="1850.0"/>
        <n v="1755.0"/>
        <n v="1820.0"/>
        <n v="1811.0"/>
        <n v="1819.0"/>
        <n v="1843.0"/>
        <n v="1861.0"/>
        <n v="1886.0"/>
        <n v="1889.0"/>
        <n v="1868.0"/>
        <n v="1883.0"/>
        <n v="1895.0"/>
        <n v="1944.0"/>
        <n v="1932.0"/>
        <n v="2030.0"/>
        <n v="2083.0"/>
        <n v="2154.0"/>
        <n v="1264.0"/>
        <n v="1276.0"/>
        <n v="1278.0"/>
        <n v="1308.0"/>
        <n v="1300.0"/>
        <n v="1327.0"/>
        <n v="1313.0"/>
        <n v="1373.0"/>
        <n v="1342.0"/>
        <n v="1350.0"/>
        <n v="1452.0"/>
        <n v="1370.0"/>
        <n v="1555.0"/>
        <n v="1498.0"/>
        <n v="1409.0"/>
        <n v="706.0"/>
        <n v="1541.0"/>
        <n v="1469.0"/>
        <n v="1574.0"/>
        <n v="489.0"/>
        <n v="2444.0"/>
        <n v="3323.0"/>
        <n v="2928.0"/>
        <n v="2925.0"/>
        <n v="3098.0"/>
        <n v="3202.0"/>
        <n v="3436.0"/>
        <n v="3290.0"/>
        <n v="4029.0"/>
        <n v="1349.0"/>
        <n v="1636.0"/>
        <n v="1807.0"/>
        <n v="1824.0"/>
        <n v="1888.0"/>
        <n v="1965.0"/>
        <n v="1971.0"/>
        <n v="1969.0"/>
        <n v="942.0"/>
        <n v="2088.0"/>
        <n v="2130.0"/>
        <n v="2255.0"/>
        <n v="2202.0"/>
        <n v="2442.0"/>
        <n v="2344.0"/>
        <n v="2380.0"/>
        <n v="2443.0"/>
        <n v="2449.0"/>
        <n v="2590.0"/>
        <n v="2783.0"/>
        <n v="2040.0"/>
        <n v="1140.0"/>
        <n v="2458.0"/>
        <n v="2568.0"/>
        <n v="2735.0"/>
        <n v="2395.0"/>
        <n v="2577.0"/>
        <n v="2645.0"/>
        <n v="2581.0"/>
        <n v="2733.0"/>
        <n v="2811.0"/>
        <n v="3021.0"/>
        <n v="600.0"/>
        <n v="1237.0"/>
        <n v="1330.0"/>
        <n v="1407.0"/>
        <n v="1392.0"/>
        <n v="1413.0"/>
        <n v="1421.0"/>
        <n v="1405.0"/>
        <n v="1425.0"/>
        <n v="1515.0"/>
        <n v="1538.0"/>
        <n v="1583.0"/>
        <n v="1508.0"/>
        <n v="790.0"/>
        <n v="1530.0"/>
        <n v="1625.0"/>
        <n v="1772.0"/>
        <n v="1708.0"/>
        <n v="1950.0"/>
        <n v="2206.0"/>
        <n v="1929.0"/>
        <n v="2035.0"/>
        <n v="1935.0"/>
        <n v="2009.0"/>
        <n v="2164.0"/>
        <n v="2096.0"/>
        <n v="2104.0"/>
        <n v="2099.0"/>
        <n v="2041.0"/>
        <n v="2338.0"/>
        <n v="2187.0"/>
        <n v="2058.0"/>
        <n v="2438.0"/>
        <n v="2488.0"/>
        <n v="1335.0"/>
        <n v="1559.0"/>
        <n v="1724.0"/>
        <n v="1910.0"/>
        <n v="1741.0"/>
        <n v="1845.0"/>
        <n v="1953.0"/>
        <n v="2046.0"/>
        <n v="2257.0"/>
        <n v="1144.0"/>
        <n v="2881.0"/>
        <n v="1787.0"/>
        <n v="1816.0"/>
        <n v="1815.0"/>
        <n v="1852.0"/>
        <n v="1878.0"/>
        <n v="2010.0"/>
        <n v="2038.0"/>
        <n v="2069.0"/>
        <n v="2062.0"/>
        <n v="182.0"/>
        <n v="1223.0"/>
        <n v="1232.0"/>
        <n v="1288.0"/>
        <n v="1490.0"/>
        <n v="1431.0"/>
        <n v="1524.0"/>
        <n v="1630.0"/>
        <n v="1648.0"/>
        <n v="1649.0"/>
        <n v="1697.0"/>
        <n v="1783.0"/>
        <n v="446.0"/>
        <n v="2024.0"/>
        <n v="1980.0"/>
        <n v="4010.0"/>
        <n v="2507.0"/>
        <n v="2570.0"/>
        <n v="2480.0"/>
        <n v="2976.0"/>
        <n v="2892.0"/>
        <n v="3444.0"/>
        <n v="2817.0"/>
        <n v="3338.0"/>
        <n v="3418.0"/>
        <n v="2990.0"/>
        <n v="3681.0"/>
        <n v="2980.0"/>
        <n v="3016.0"/>
        <n v="3313.0"/>
        <n v="3140.0"/>
        <n v="3118.0"/>
        <n v="3032.0"/>
        <n v="3162.0"/>
        <n v="2966.0"/>
        <n v="3510.0"/>
        <n v="3439.0"/>
        <n v="3253.0"/>
        <n v="3264.0"/>
        <n v="3348.0"/>
        <n v="3706.0"/>
        <n v="3728.0"/>
        <n v="4034.0"/>
        <n v="3830.0"/>
        <n v="1778.0"/>
        <n v="1780.0"/>
        <n v="1782.0"/>
        <n v="538.0"/>
        <n v="1870.0"/>
        <n v="1952.0"/>
        <n v="2005.0"/>
        <n v="1978.0"/>
        <n v="2101.0"/>
        <n v="2293.0"/>
        <n v="2259.0"/>
        <n v="2296.0"/>
        <n v="2393.0"/>
        <n v="2484.0"/>
        <n v="2360.0"/>
        <n v="2453.0"/>
        <n v="1958.0"/>
        <n v="2129.0"/>
        <n v="2178.0"/>
        <n v="2201.0"/>
        <n v="2141.0"/>
        <n v="2236.0"/>
        <n v="2216.0"/>
        <n v="2308.0"/>
        <n v="2341.0"/>
        <n v="745.0"/>
        <n v="2032.0"/>
        <n v="2133.0"/>
        <n v="2210.0"/>
        <n v="2217.0"/>
        <n v="2227.0"/>
        <n v="2317.0"/>
        <n v="2303.0"/>
        <n v="2297.0"/>
        <n v="2424.0"/>
        <n v="2335.0"/>
        <n v="2374.0"/>
        <n v="722.0"/>
        <n v="1680.0"/>
        <n v="1902.0"/>
        <n v="1882.0"/>
        <n v="1853.0"/>
        <n v="1901.0"/>
        <n v="1906.0"/>
        <n v="1876.0"/>
        <n v="2235.0"/>
        <n v="2078.0"/>
        <n v="2149.0"/>
        <n v="2677.0"/>
        <n v="2886.0"/>
        <n v="2822.0"/>
        <n v="2848.0"/>
        <n v="2895.0"/>
        <n v="2923.0"/>
        <n v="2915.0"/>
        <n v="2943.0"/>
        <n v="2931.0"/>
        <n v="2981.0"/>
        <n v="3224.0"/>
        <n v="3357.0"/>
        <n v="3597.0"/>
        <n v="1481.0"/>
        <n v="1615.0"/>
        <n v="633.0"/>
        <n v="1692.0"/>
        <n v="1712.0"/>
        <n v="1892.0"/>
        <n v="2019.0"/>
        <n v="2086.0"/>
        <n v="2065.0"/>
        <n v="2044.0"/>
        <n v="2142.0"/>
        <n v="2249.0"/>
        <n v="1511.0"/>
        <n v="2486.0"/>
        <n v="2775.0"/>
        <n v="3492.0"/>
        <n v="3378.0"/>
        <n v="3427.0"/>
        <n v="3625.0"/>
        <n v="3817.0"/>
        <n v="3765.0"/>
        <n v="4430.0"/>
        <n v="1903.0"/>
        <n v="2262.0"/>
        <n v="2482.0"/>
        <n v="2445.0"/>
        <n v="2617.0"/>
        <n v="2694.0"/>
        <n v="2884.0"/>
        <n v="2778.0"/>
        <n v="3119.0"/>
        <n v="1849.0"/>
        <n v="2224.0"/>
        <n v="787.0"/>
        <n v="1977.0"/>
        <n v="2207.0"/>
        <n v="2584.0"/>
        <n v="3065.0"/>
        <n v="4286.0"/>
        <n v="3920.0"/>
        <n v="3856.0"/>
        <n v="917.0"/>
        <n v="2100.0"/>
        <n v="2014.0"/>
        <n v="2158.0"/>
        <n v="2055.0"/>
        <n v="2188.0"/>
        <n v="2115.0"/>
        <n v="2170.0"/>
        <n v="2231.0"/>
        <n v="2244.0"/>
        <n v="2437.0"/>
        <n v="1023.0"/>
        <n v="2700.0"/>
        <n v="2613.0"/>
        <n v="2575.0"/>
        <n v="2573.0"/>
        <n v="2676.0"/>
        <n v="2871.0"/>
        <n v="2840.0"/>
        <n v="3086.0"/>
        <n v="1641.0"/>
        <n v="625.0"/>
        <n v="1799.0"/>
        <n v="1794.0"/>
        <n v="2421.0"/>
        <n v="2543.0"/>
        <n v="2519.0"/>
        <n v="2233.0"/>
        <n v="2439.0"/>
        <n v="2752.0"/>
        <n v="2496.0"/>
        <n v="2862.0"/>
        <n v="791.0"/>
        <n v="2684.0"/>
        <n v="2715.0"/>
        <n v="2790.0"/>
        <n v="3097.0"/>
        <n v="3122.0"/>
        <n v="3176.0"/>
        <n v="3167.0"/>
        <n v="3209.0"/>
        <n v="3377.0"/>
        <n v="3697.0"/>
        <n v="1377.0"/>
        <n v="1607.0"/>
        <n v="1657.0"/>
        <n v="1776.0"/>
        <n v="1832.0"/>
        <n v="2162.0"/>
        <n v="2606.0"/>
        <n v="2624.0"/>
        <n v="2702.0"/>
        <n v="3713.0"/>
        <n v="3775.0"/>
        <n v="3798.0"/>
        <n v="3304.0"/>
        <n v="3839.0"/>
        <n v="4128.0"/>
        <n v="4234.0"/>
        <n v="3669.0"/>
        <n v="1814.0"/>
        <n v="2354.0"/>
        <n v="2400.0"/>
        <n v="2462.0"/>
        <n v="2517.0"/>
        <n v="2786.0"/>
        <n v="728.0"/>
        <n v="1725.0"/>
        <n v="1890.0"/>
        <n v="1961.0"/>
        <n v="2114.0"/>
        <n v="2229.0"/>
        <n v="2260.0"/>
        <n v="2253.0"/>
        <n v="2667.0"/>
        <n v="3004.0"/>
        <n v="938.0"/>
        <n v="2820.0"/>
        <n v="2834.0"/>
        <n v="2947.0"/>
        <n v="3864.0"/>
        <n v="3841.0"/>
        <n v="3527.0"/>
        <n v="3662.0"/>
        <n v="4196.0"/>
        <n v="4039.0"/>
        <n v="4220.0"/>
        <n v="4526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5" cacheId="0" dataCaption="" compact="0" compactData="0">
  <location ref="A1:C37" firstHeaderRow="0" firstDataRow="2" firstDataCol="0"/>
  <pivotFields>
    <pivotField name="Id" axis="axisRow" compact="0" outline="0" multipleItemSelectionAllowed="1" showAll="0" sortType="ascending">
      <items>
        <item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ctivity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ía de la seman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t="default"/>
      </items>
    </pivotField>
    <pivotField name="Total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Tracker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LoggedActivities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e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Moderatel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Light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Sedenta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er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Fair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Light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Sedentary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Cal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AVERAGE of TotalSteps" fld="3" subtotal="average" baseField="0"/>
    <dataField name="AVERAGE of SedentaryMinutes" fld="14" subtotal="average" baseField="0"/>
  </dataFields>
</pivotTableDefinition>
</file>

<file path=xl/pivotTables/pivotTable2.xml><?xml version="1.0" encoding="utf-8"?>
<pivotTableDefinition xmlns="http://schemas.openxmlformats.org/spreadsheetml/2006/main" name="Pivot Table 4" cacheId="0" dataCaption="" compact="0" compactData="0">
  <location ref="A1:C10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ctivity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ía de la semana" axis="axisRow" compact="0" numFmtId="164" outline="0" multipleItemSelectionAllowed="1" showAll="0" sortType="ascending">
      <items>
        <item x="7"/>
        <item x="1"/>
        <item x="3"/>
        <item x="6"/>
        <item x="0"/>
        <item x="5"/>
        <item x="2"/>
        <item x="4"/>
        <item t="default"/>
      </items>
    </pivotField>
    <pivotField name="Total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t="default"/>
      </items>
    </pivotField>
    <pivotField name="Total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Tracker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LoggedActivities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e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Moderatel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Light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Sedenta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er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Fair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Light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Sedenta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Calo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AVERAGE of TotalSteps" fld="3" subtotal="average" baseField="0"/>
    <dataField name="AVERAGE of Calories" fld="15" subtotal="average" baseField="0"/>
  </dataFields>
</pivotTableDefinition>
</file>

<file path=xl/pivotTables/pivotTable3.xml><?xml version="1.0" encoding="utf-8"?>
<pivotTableDefinition xmlns="http://schemas.openxmlformats.org/spreadsheetml/2006/main" name="Suma de Pasos" cacheId="0" dataCaption="" compact="0" compactData="0">
  <location ref="A1:B37" firstHeaderRow="0" firstDataRow="1" firstDataCol="0"/>
  <pivotFields>
    <pivotField name="Id" axis="axisRow" compact="0" outline="0" multipleItemSelectionAllowed="1" showAll="0" sortType="ascending">
      <items>
        <item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ctivity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ía de la seman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t="default"/>
      </items>
    </pivotField>
    <pivotField name="Total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Tracker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LoggedActivities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e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Moderatel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Light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Sedenta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er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Fair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Light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Sedenta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Cal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</pivotFields>
  <rowFields>
    <field x="0"/>
  </rowFields>
  <dataFields>
    <dataField name="AVERAGE of TotalSteps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16</v>
      </c>
      <c r="S1" s="3" t="s">
        <v>16</v>
      </c>
      <c r="T1" s="3" t="s">
        <v>16</v>
      </c>
      <c r="U1" s="3" t="s">
        <v>16</v>
      </c>
      <c r="V1" s="3" t="s">
        <v>16</v>
      </c>
      <c r="W1" s="3" t="s">
        <v>16</v>
      </c>
      <c r="X1" s="3" t="s">
        <v>16</v>
      </c>
      <c r="Y1" s="3" t="s">
        <v>16</v>
      </c>
      <c r="Z1" s="3" t="s">
        <v>16</v>
      </c>
      <c r="AA1" s="3" t="s">
        <v>16</v>
      </c>
    </row>
    <row r="2">
      <c r="A2" s="1">
        <v>1.503960366E9</v>
      </c>
      <c r="B2" s="2">
        <v>42708.0</v>
      </c>
      <c r="C2" s="2" t="str">
        <f t="shared" ref="C2:C397" si="1">TEXT(B2,"dddd")</f>
        <v>Sunday</v>
      </c>
      <c r="D2" s="1">
        <v>224.0</v>
      </c>
      <c r="E2" s="1">
        <v>0.140000000596046</v>
      </c>
      <c r="F2" s="1">
        <v>0.140000000596046</v>
      </c>
      <c r="G2" s="1">
        <v>0.0</v>
      </c>
      <c r="H2" s="1">
        <v>0.0</v>
      </c>
      <c r="I2" s="1">
        <v>0.0</v>
      </c>
      <c r="J2" s="1">
        <v>0.129999995231628</v>
      </c>
      <c r="K2" s="1">
        <v>0.0</v>
      </c>
      <c r="L2" s="1">
        <v>0.0</v>
      </c>
      <c r="M2" s="1">
        <v>0.0</v>
      </c>
      <c r="N2" s="1">
        <v>9.0</v>
      </c>
      <c r="O2" s="1">
        <v>32.0</v>
      </c>
      <c r="P2" s="1">
        <v>50.0</v>
      </c>
    </row>
    <row r="3">
      <c r="A3" s="1">
        <v>1.503960366E9</v>
      </c>
      <c r="B3" s="2">
        <v>42433.0</v>
      </c>
      <c r="C3" s="2" t="str">
        <f t="shared" si="1"/>
        <v>Friday</v>
      </c>
      <c r="D3" s="1">
        <v>10016.0</v>
      </c>
      <c r="E3" s="1">
        <v>6.36999988555908</v>
      </c>
      <c r="F3" s="1">
        <v>6.36999988555908</v>
      </c>
      <c r="G3" s="1">
        <v>0.0</v>
      </c>
      <c r="H3" s="1">
        <v>0.910000026226044</v>
      </c>
      <c r="I3" s="1">
        <v>1.27999997138977</v>
      </c>
      <c r="J3" s="1">
        <v>4.17999982833862</v>
      </c>
      <c r="K3" s="1">
        <v>0.0</v>
      </c>
      <c r="L3" s="1">
        <v>15.0</v>
      </c>
      <c r="M3" s="1">
        <v>30.0</v>
      </c>
      <c r="N3" s="1">
        <v>314.0</v>
      </c>
      <c r="O3" s="1">
        <v>655.0</v>
      </c>
      <c r="P3" s="1">
        <v>1850.0</v>
      </c>
    </row>
    <row r="4">
      <c r="A4" s="1">
        <v>1.503960366E9</v>
      </c>
      <c r="B4" s="2">
        <v>42647.0</v>
      </c>
      <c r="C4" s="2" t="str">
        <f t="shared" si="1"/>
        <v>Tuesday</v>
      </c>
      <c r="D4" s="1">
        <v>10057.0</v>
      </c>
      <c r="E4" s="1">
        <v>6.98000001907349</v>
      </c>
      <c r="F4" s="1">
        <v>6.98000001907349</v>
      </c>
      <c r="G4" s="1">
        <v>0.0</v>
      </c>
      <c r="H4" s="1">
        <v>4.0</v>
      </c>
      <c r="I4" s="1">
        <v>0.490000009536743</v>
      </c>
      <c r="J4" s="1">
        <v>2.48000001907349</v>
      </c>
      <c r="K4" s="1">
        <v>0.0</v>
      </c>
      <c r="L4" s="1">
        <v>44.0</v>
      </c>
      <c r="M4" s="1">
        <v>13.0</v>
      </c>
      <c r="N4" s="1">
        <v>168.0</v>
      </c>
      <c r="O4" s="1">
        <v>737.0</v>
      </c>
      <c r="P4" s="1">
        <v>1755.0</v>
      </c>
    </row>
    <row r="5">
      <c r="A5" s="1">
        <v>1.503960366E9</v>
      </c>
      <c r="B5" s="2">
        <v>42555.0</v>
      </c>
      <c r="C5" s="2" t="str">
        <f t="shared" si="1"/>
        <v>Monday</v>
      </c>
      <c r="D5" s="1">
        <v>10198.0</v>
      </c>
      <c r="E5" s="1">
        <v>6.44000005722046</v>
      </c>
      <c r="F5" s="1">
        <v>6.44000005722046</v>
      </c>
      <c r="G5" s="1">
        <v>0.0</v>
      </c>
      <c r="H5" s="1">
        <v>1.20000004768372</v>
      </c>
      <c r="I5" s="1">
        <v>0.790000021457672</v>
      </c>
      <c r="J5" s="1">
        <v>4.44999980926514</v>
      </c>
      <c r="K5" s="1">
        <v>0.0</v>
      </c>
      <c r="L5" s="1">
        <v>17.0</v>
      </c>
      <c r="M5" s="1">
        <v>20.0</v>
      </c>
      <c r="N5" s="1">
        <v>195.0</v>
      </c>
      <c r="O5" s="1">
        <v>1208.0</v>
      </c>
      <c r="P5" s="1">
        <v>1755.0</v>
      </c>
    </row>
    <row r="6">
      <c r="A6" s="1">
        <v>1.503960366E9</v>
      </c>
      <c r="B6" s="4" t="s">
        <v>17</v>
      </c>
      <c r="C6" s="2" t="str">
        <f t="shared" si="1"/>
        <v>Wednesday</v>
      </c>
      <c r="D6" s="1">
        <v>10970.0</v>
      </c>
      <c r="E6" s="1">
        <v>7.15999984741211</v>
      </c>
      <c r="F6" s="1">
        <v>7.15999984741211</v>
      </c>
      <c r="G6" s="1">
        <v>0.0</v>
      </c>
      <c r="H6" s="1">
        <v>2.35999989509583</v>
      </c>
      <c r="I6" s="1">
        <v>0.509999990463257</v>
      </c>
      <c r="J6" s="1">
        <v>4.28999996185303</v>
      </c>
      <c r="K6" s="1">
        <v>0.0</v>
      </c>
      <c r="L6" s="1">
        <v>30.0</v>
      </c>
      <c r="M6" s="1">
        <v>13.0</v>
      </c>
      <c r="N6" s="1">
        <v>223.0</v>
      </c>
      <c r="O6" s="1">
        <v>1174.0</v>
      </c>
      <c r="P6" s="1">
        <v>1820.0</v>
      </c>
    </row>
    <row r="7">
      <c r="A7" s="1">
        <v>1.503960366E9</v>
      </c>
      <c r="B7" s="2">
        <v>42678.0</v>
      </c>
      <c r="C7" s="2" t="str">
        <f t="shared" si="1"/>
        <v>Friday</v>
      </c>
      <c r="D7" s="1">
        <v>10990.0</v>
      </c>
      <c r="E7" s="1">
        <v>7.26000022888184</v>
      </c>
      <c r="F7" s="1">
        <v>7.26000022888184</v>
      </c>
      <c r="G7" s="1">
        <v>0.0</v>
      </c>
      <c r="H7" s="1">
        <v>2.03999996185303</v>
      </c>
      <c r="I7" s="1">
        <v>0.569999992847443</v>
      </c>
      <c r="J7" s="1">
        <v>4.65000009536743</v>
      </c>
      <c r="K7" s="1">
        <v>0.0</v>
      </c>
      <c r="L7" s="1">
        <v>26.0</v>
      </c>
      <c r="M7" s="1">
        <v>14.0</v>
      </c>
      <c r="N7" s="1">
        <v>216.0</v>
      </c>
      <c r="O7" s="1">
        <v>855.0</v>
      </c>
      <c r="P7" s="1">
        <v>1811.0</v>
      </c>
    </row>
    <row r="8">
      <c r="A8" s="1">
        <v>1.503960366E9</v>
      </c>
      <c r="B8" s="4" t="s">
        <v>18</v>
      </c>
      <c r="C8" s="2" t="str">
        <f t="shared" si="1"/>
        <v>Friday</v>
      </c>
      <c r="D8" s="1">
        <v>11004.0</v>
      </c>
      <c r="E8" s="1">
        <v>7.1100001335144</v>
      </c>
      <c r="F8" s="1">
        <v>7.1100001335144</v>
      </c>
      <c r="G8" s="1">
        <v>0.0</v>
      </c>
      <c r="H8" s="1">
        <v>2.5699999332428</v>
      </c>
      <c r="I8" s="1">
        <v>0.46000000834465</v>
      </c>
      <c r="J8" s="1">
        <v>4.07000017166138</v>
      </c>
      <c r="K8" s="1">
        <v>0.0</v>
      </c>
      <c r="L8" s="1">
        <v>33.0</v>
      </c>
      <c r="M8" s="1">
        <v>12.0</v>
      </c>
      <c r="N8" s="1">
        <v>205.0</v>
      </c>
      <c r="O8" s="1">
        <v>804.0</v>
      </c>
      <c r="P8" s="1">
        <v>1819.0</v>
      </c>
    </row>
    <row r="9">
      <c r="A9" s="1">
        <v>1.503960366E9</v>
      </c>
      <c r="B9" s="2">
        <v>42404.0</v>
      </c>
      <c r="C9" s="2" t="str">
        <f t="shared" si="1"/>
        <v>Thursday</v>
      </c>
      <c r="D9" s="1">
        <v>11248.0</v>
      </c>
      <c r="E9" s="1">
        <v>7.25</v>
      </c>
      <c r="F9" s="1">
        <v>7.25</v>
      </c>
      <c r="G9" s="1">
        <v>0.0</v>
      </c>
      <c r="H9" s="1">
        <v>3.0</v>
      </c>
      <c r="I9" s="1">
        <v>0.449999988079071</v>
      </c>
      <c r="J9" s="1">
        <v>3.74000000953674</v>
      </c>
      <c r="K9" s="1">
        <v>0.0</v>
      </c>
      <c r="L9" s="1">
        <v>40.0</v>
      </c>
      <c r="M9" s="1">
        <v>11.0</v>
      </c>
      <c r="N9" s="1">
        <v>244.0</v>
      </c>
      <c r="O9" s="1">
        <v>636.0</v>
      </c>
      <c r="P9" s="1">
        <v>1843.0</v>
      </c>
    </row>
    <row r="10">
      <c r="A10" s="1">
        <v>1.503960366E9</v>
      </c>
      <c r="B10" s="2">
        <v>42525.0</v>
      </c>
      <c r="C10" s="2" t="str">
        <f t="shared" si="1"/>
        <v>Saturday</v>
      </c>
      <c r="D10" s="1">
        <v>11974.0</v>
      </c>
      <c r="E10" s="1">
        <v>7.67000007629395</v>
      </c>
      <c r="F10" s="1">
        <v>7.67000007629395</v>
      </c>
      <c r="G10" s="1">
        <v>0.0</v>
      </c>
      <c r="H10" s="1">
        <v>2.03999996185303</v>
      </c>
      <c r="I10" s="1">
        <v>0.479999989271164</v>
      </c>
      <c r="J10" s="1">
        <v>5.15000009536743</v>
      </c>
      <c r="K10" s="1">
        <v>0.0</v>
      </c>
      <c r="L10" s="1">
        <v>27.0</v>
      </c>
      <c r="M10" s="1">
        <v>12.0</v>
      </c>
      <c r="N10" s="1">
        <v>228.0</v>
      </c>
      <c r="O10" s="1">
        <v>1173.0</v>
      </c>
      <c r="P10" s="1">
        <v>1861.0</v>
      </c>
    </row>
    <row r="11">
      <c r="A11" s="1">
        <v>1.503960366E9</v>
      </c>
      <c r="B11" s="4" t="s">
        <v>19</v>
      </c>
      <c r="C11" s="2" t="str">
        <f t="shared" si="1"/>
        <v>Tuesday</v>
      </c>
      <c r="D11" s="1">
        <v>12041.0</v>
      </c>
      <c r="E11" s="1">
        <v>7.84999990463257</v>
      </c>
      <c r="F11" s="1">
        <v>7.84999990463257</v>
      </c>
      <c r="G11" s="1">
        <v>0.0</v>
      </c>
      <c r="H11" s="1">
        <v>2.16000008583069</v>
      </c>
      <c r="I11" s="1">
        <v>1.0900000333786</v>
      </c>
      <c r="J11" s="1">
        <v>4.6100001335144</v>
      </c>
      <c r="K11" s="1">
        <v>0.0</v>
      </c>
      <c r="L11" s="1">
        <v>28.0</v>
      </c>
      <c r="M11" s="1">
        <v>28.0</v>
      </c>
      <c r="N11" s="1">
        <v>243.0</v>
      </c>
      <c r="O11" s="1">
        <v>763.0</v>
      </c>
      <c r="P11" s="1">
        <v>1886.0</v>
      </c>
    </row>
    <row r="12">
      <c r="A12" s="1">
        <v>1.503960366E9</v>
      </c>
      <c r="B12" s="2" t="s">
        <v>20</v>
      </c>
      <c r="C12" s="2" t="str">
        <f t="shared" si="1"/>
        <v>Thursday</v>
      </c>
      <c r="D12" s="1">
        <v>12256.0</v>
      </c>
      <c r="E12" s="1">
        <v>7.8600001335144</v>
      </c>
      <c r="F12" s="1">
        <v>7.8600001335144</v>
      </c>
      <c r="G12" s="1">
        <v>0.0</v>
      </c>
      <c r="H12" s="1">
        <v>2.28999996185303</v>
      </c>
      <c r="I12" s="1">
        <v>0.490000009536743</v>
      </c>
      <c r="J12" s="1">
        <v>5.03999996185303</v>
      </c>
      <c r="K12" s="1">
        <v>0.0</v>
      </c>
      <c r="L12" s="1">
        <v>33.0</v>
      </c>
      <c r="M12" s="1">
        <v>12.0</v>
      </c>
      <c r="N12" s="1">
        <v>239.0</v>
      </c>
      <c r="O12" s="1">
        <v>820.0</v>
      </c>
      <c r="P12" s="1">
        <v>1889.0</v>
      </c>
    </row>
    <row r="13">
      <c r="A13" s="1">
        <v>1.503960366E9</v>
      </c>
      <c r="B13" s="2">
        <v>42373.0</v>
      </c>
      <c r="C13" s="2" t="str">
        <f t="shared" si="1"/>
        <v>Monday</v>
      </c>
      <c r="D13" s="1">
        <v>12262.0</v>
      </c>
      <c r="E13" s="1">
        <v>7.86999988555908</v>
      </c>
      <c r="F13" s="1">
        <v>7.86999988555908</v>
      </c>
      <c r="G13" s="1">
        <v>0.0</v>
      </c>
      <c r="H13" s="1">
        <v>3.3199999332428</v>
      </c>
      <c r="I13" s="1">
        <v>0.829999983310699</v>
      </c>
      <c r="J13" s="1">
        <v>3.64000010490417</v>
      </c>
      <c r="K13" s="1">
        <v>0.0</v>
      </c>
      <c r="L13" s="1">
        <v>47.0</v>
      </c>
      <c r="M13" s="1">
        <v>21.0</v>
      </c>
      <c r="N13" s="1">
        <v>200.0</v>
      </c>
      <c r="O13" s="1">
        <v>866.0</v>
      </c>
      <c r="P13" s="1">
        <v>1868.0</v>
      </c>
    </row>
    <row r="14">
      <c r="A14" s="1">
        <v>1.503960366E9</v>
      </c>
      <c r="B14" s="2">
        <v>42617.0</v>
      </c>
      <c r="C14" s="2" t="str">
        <f t="shared" si="1"/>
        <v>Sunday</v>
      </c>
      <c r="D14" s="1">
        <v>12432.0</v>
      </c>
      <c r="E14" s="1">
        <v>8.10000038146973</v>
      </c>
      <c r="F14" s="1">
        <v>8.10000038146973</v>
      </c>
      <c r="G14" s="1">
        <v>0.0</v>
      </c>
      <c r="H14" s="1">
        <v>2.58999991416931</v>
      </c>
      <c r="I14" s="1">
        <v>0.589999973773956</v>
      </c>
      <c r="J14" s="1">
        <v>4.92000007629395</v>
      </c>
      <c r="K14" s="1">
        <v>0.0</v>
      </c>
      <c r="L14" s="1">
        <v>32.0</v>
      </c>
      <c r="M14" s="1">
        <v>15.0</v>
      </c>
      <c r="N14" s="1">
        <v>248.0</v>
      </c>
      <c r="O14" s="1">
        <v>738.0</v>
      </c>
      <c r="P14" s="1">
        <v>1883.0</v>
      </c>
    </row>
    <row r="15">
      <c r="A15" s="1">
        <v>1.503960366E9</v>
      </c>
      <c r="B15" s="2">
        <v>42586.0</v>
      </c>
      <c r="C15" s="2" t="str">
        <f t="shared" si="1"/>
        <v>Thursday</v>
      </c>
      <c r="D15" s="1">
        <v>12521.0</v>
      </c>
      <c r="E15" s="1">
        <v>7.94000005722046</v>
      </c>
      <c r="F15" s="1">
        <v>7.94000005722046</v>
      </c>
      <c r="G15" s="1">
        <v>0.0</v>
      </c>
      <c r="H15" s="1">
        <v>3.30999994277954</v>
      </c>
      <c r="I15" s="1">
        <v>0.899999976158142</v>
      </c>
      <c r="J15" s="1">
        <v>3.74000000953674</v>
      </c>
      <c r="K15" s="1">
        <v>0.0</v>
      </c>
      <c r="L15" s="1">
        <v>46.0</v>
      </c>
      <c r="M15" s="1">
        <v>22.0</v>
      </c>
      <c r="N15" s="1">
        <v>212.0</v>
      </c>
      <c r="O15" s="1">
        <v>1160.0</v>
      </c>
      <c r="P15" s="1">
        <v>1895.0</v>
      </c>
    </row>
    <row r="16">
      <c r="A16" s="1">
        <v>1.503960366E9</v>
      </c>
      <c r="B16" s="4" t="s">
        <v>21</v>
      </c>
      <c r="C16" s="2" t="str">
        <f t="shared" si="1"/>
        <v>Sunday</v>
      </c>
      <c r="D16" s="1">
        <v>12736.0</v>
      </c>
      <c r="E16" s="1">
        <v>8.52999973297119</v>
      </c>
      <c r="F16" s="1">
        <v>8.52999973297119</v>
      </c>
      <c r="G16" s="1">
        <v>0.0</v>
      </c>
      <c r="H16" s="1">
        <v>4.65999984741211</v>
      </c>
      <c r="I16" s="1">
        <v>0.159999996423721</v>
      </c>
      <c r="J16" s="1">
        <v>3.71000003814697</v>
      </c>
      <c r="K16" s="1">
        <v>0.0</v>
      </c>
      <c r="L16" s="1">
        <v>56.0</v>
      </c>
      <c r="M16" s="1">
        <v>5.0</v>
      </c>
      <c r="N16" s="1">
        <v>268.0</v>
      </c>
      <c r="O16" s="1">
        <v>605.0</v>
      </c>
      <c r="P16" s="1">
        <v>1944.0</v>
      </c>
    </row>
    <row r="17">
      <c r="A17" s="1">
        <v>1.503960366E9</v>
      </c>
      <c r="B17" s="4" t="s">
        <v>22</v>
      </c>
      <c r="C17" s="2" t="str">
        <f t="shared" si="1"/>
        <v>Monday</v>
      </c>
      <c r="D17" s="1">
        <v>13231.0</v>
      </c>
      <c r="E17" s="1">
        <v>8.93000030517578</v>
      </c>
      <c r="F17" s="1">
        <v>8.93000030517578</v>
      </c>
      <c r="G17" s="1">
        <v>0.0</v>
      </c>
      <c r="H17" s="1">
        <v>3.19000005722046</v>
      </c>
      <c r="I17" s="1">
        <v>0.790000021457672</v>
      </c>
      <c r="J17" s="1">
        <v>4.94999980926514</v>
      </c>
      <c r="K17" s="1">
        <v>0.0</v>
      </c>
      <c r="L17" s="1">
        <v>39.0</v>
      </c>
      <c r="M17" s="1">
        <v>20.0</v>
      </c>
      <c r="N17" s="1">
        <v>224.0</v>
      </c>
      <c r="O17" s="1">
        <v>1080.0</v>
      </c>
      <c r="P17" s="1">
        <v>1932.0</v>
      </c>
    </row>
    <row r="18">
      <c r="A18" s="1">
        <v>1.503960366E9</v>
      </c>
      <c r="B18" s="2">
        <v>42464.0</v>
      </c>
      <c r="C18" s="2" t="str">
        <f t="shared" si="1"/>
        <v>Monday</v>
      </c>
      <c r="D18" s="1">
        <v>14557.0</v>
      </c>
      <c r="E18" s="1">
        <v>9.80000019073486</v>
      </c>
      <c r="F18" s="1">
        <v>9.80000019073486</v>
      </c>
      <c r="G18" s="1">
        <v>0.0</v>
      </c>
      <c r="H18" s="1">
        <v>3.39000010490417</v>
      </c>
      <c r="I18" s="1">
        <v>0.699999988079071</v>
      </c>
      <c r="J18" s="1">
        <v>5.69000005722046</v>
      </c>
      <c r="K18" s="1">
        <v>0.0</v>
      </c>
      <c r="L18" s="1">
        <v>43.0</v>
      </c>
      <c r="M18" s="1">
        <v>18.0</v>
      </c>
      <c r="N18" s="1">
        <v>285.0</v>
      </c>
      <c r="O18" s="1">
        <v>757.0</v>
      </c>
      <c r="P18" s="1">
        <v>2030.0</v>
      </c>
    </row>
    <row r="19">
      <c r="A19" s="1">
        <v>1.503960366E9</v>
      </c>
      <c r="B19" s="2">
        <v>42494.0</v>
      </c>
      <c r="C19" s="2" t="str">
        <f t="shared" si="1"/>
        <v>Wednesday</v>
      </c>
      <c r="D19" s="1">
        <v>14844.0</v>
      </c>
      <c r="E19" s="1">
        <v>9.72999954223633</v>
      </c>
      <c r="F19" s="1">
        <v>9.72999954223633</v>
      </c>
      <c r="G19" s="1">
        <v>0.0</v>
      </c>
      <c r="H19" s="1">
        <v>2.94000005722046</v>
      </c>
      <c r="I19" s="1">
        <v>0.759999990463257</v>
      </c>
      <c r="J19" s="1">
        <v>6.03999996185303</v>
      </c>
      <c r="K19" s="1">
        <v>0.0</v>
      </c>
      <c r="L19" s="1">
        <v>36.0</v>
      </c>
      <c r="M19" s="1">
        <v>18.0</v>
      </c>
      <c r="N19" s="1">
        <v>341.0</v>
      </c>
      <c r="O19" s="1">
        <v>736.0</v>
      </c>
      <c r="P19" s="1">
        <v>2083.0</v>
      </c>
    </row>
    <row r="20">
      <c r="A20" s="1">
        <v>1.503960366E9</v>
      </c>
      <c r="B20" s="4" t="s">
        <v>23</v>
      </c>
      <c r="C20" s="2" t="str">
        <f t="shared" si="1"/>
        <v>Saturday</v>
      </c>
      <c r="D20" s="1">
        <v>17609.0</v>
      </c>
      <c r="E20" s="1">
        <v>11.5500001907349</v>
      </c>
      <c r="F20" s="1">
        <v>11.5500001907349</v>
      </c>
      <c r="G20" s="1">
        <v>0.0</v>
      </c>
      <c r="H20" s="1">
        <v>6.92000007629395</v>
      </c>
      <c r="I20" s="1">
        <v>0.730000019073486</v>
      </c>
      <c r="J20" s="1">
        <v>3.91000008583069</v>
      </c>
      <c r="K20" s="1">
        <v>0.0</v>
      </c>
      <c r="L20" s="1">
        <v>89.0</v>
      </c>
      <c r="M20" s="1">
        <v>17.0</v>
      </c>
      <c r="N20" s="1">
        <v>274.0</v>
      </c>
      <c r="O20" s="1">
        <v>588.0</v>
      </c>
      <c r="P20" s="1">
        <v>2154.0</v>
      </c>
    </row>
    <row r="21">
      <c r="A21" s="1">
        <v>1.624580081E9</v>
      </c>
      <c r="B21" s="2" t="s">
        <v>23</v>
      </c>
      <c r="C21" s="2" t="str">
        <f t="shared" si="1"/>
        <v>Saturday</v>
      </c>
      <c r="D21" s="1">
        <v>815.0</v>
      </c>
      <c r="E21" s="1">
        <v>0.529999971389771</v>
      </c>
      <c r="F21" s="1">
        <v>0.529999971389771</v>
      </c>
      <c r="G21" s="1">
        <v>0.0</v>
      </c>
      <c r="H21" s="1">
        <v>0.0</v>
      </c>
      <c r="I21" s="1">
        <v>0.0</v>
      </c>
      <c r="J21" s="1">
        <v>0.529999971389771</v>
      </c>
      <c r="K21" s="1">
        <v>0.0</v>
      </c>
      <c r="L21" s="1">
        <v>0.0</v>
      </c>
      <c r="M21" s="1">
        <v>0.0</v>
      </c>
      <c r="N21" s="1">
        <v>47.0</v>
      </c>
      <c r="O21" s="1">
        <v>1393.0</v>
      </c>
      <c r="P21" s="1">
        <v>1264.0</v>
      </c>
    </row>
    <row r="22">
      <c r="A22" s="1">
        <v>1.624580081E9</v>
      </c>
      <c r="B22" s="2">
        <v>42525.0</v>
      </c>
      <c r="C22" s="2" t="str">
        <f t="shared" si="1"/>
        <v>Saturday</v>
      </c>
      <c r="D22" s="1">
        <v>1004.0</v>
      </c>
      <c r="E22" s="1">
        <v>0.649999976158142</v>
      </c>
      <c r="F22" s="1">
        <v>0.649999976158142</v>
      </c>
      <c r="G22" s="1">
        <v>0.0</v>
      </c>
      <c r="H22" s="1">
        <v>0.0</v>
      </c>
      <c r="I22" s="1">
        <v>0.0</v>
      </c>
      <c r="J22" s="1">
        <v>0.649999976158142</v>
      </c>
      <c r="K22" s="1">
        <v>0.0</v>
      </c>
      <c r="L22" s="1">
        <v>0.0</v>
      </c>
      <c r="M22" s="1">
        <v>0.0</v>
      </c>
      <c r="N22" s="1">
        <v>55.0</v>
      </c>
      <c r="O22" s="1">
        <v>1385.0</v>
      </c>
      <c r="P22" s="1">
        <v>1276.0</v>
      </c>
    </row>
    <row r="23">
      <c r="A23" s="1">
        <v>1.624580081E9</v>
      </c>
      <c r="B23" s="2">
        <v>42555.0</v>
      </c>
      <c r="C23" s="2" t="str">
        <f t="shared" si="1"/>
        <v>Monday</v>
      </c>
      <c r="D23" s="1">
        <v>1111.0</v>
      </c>
      <c r="E23" s="1">
        <v>0.720000028610229</v>
      </c>
      <c r="F23" s="1">
        <v>0.720000028610229</v>
      </c>
      <c r="G23" s="1">
        <v>0.0</v>
      </c>
      <c r="H23" s="1">
        <v>0.0</v>
      </c>
      <c r="I23" s="1">
        <v>0.0</v>
      </c>
      <c r="J23" s="1">
        <v>0.720000028610229</v>
      </c>
      <c r="K23" s="1">
        <v>0.0</v>
      </c>
      <c r="L23" s="1">
        <v>0.0</v>
      </c>
      <c r="M23" s="1">
        <v>0.0</v>
      </c>
      <c r="N23" s="1">
        <v>54.0</v>
      </c>
      <c r="O23" s="1">
        <v>1386.0</v>
      </c>
      <c r="P23" s="1">
        <v>1278.0</v>
      </c>
    </row>
    <row r="24">
      <c r="A24" s="1">
        <v>1.624580081E9</v>
      </c>
      <c r="B24" s="2">
        <v>42494.0</v>
      </c>
      <c r="C24" s="2" t="str">
        <f t="shared" si="1"/>
        <v>Wednesday</v>
      </c>
      <c r="D24" s="1">
        <v>1335.0</v>
      </c>
      <c r="E24" s="1">
        <v>0.870000004768372</v>
      </c>
      <c r="F24" s="1">
        <v>0.870000004768372</v>
      </c>
      <c r="G24" s="1">
        <v>0.0</v>
      </c>
      <c r="H24" s="1">
        <v>0.0</v>
      </c>
      <c r="I24" s="1">
        <v>0.0</v>
      </c>
      <c r="J24" s="1">
        <v>0.870000004768372</v>
      </c>
      <c r="K24" s="1">
        <v>0.0</v>
      </c>
      <c r="L24" s="1">
        <v>0.0</v>
      </c>
      <c r="M24" s="1">
        <v>0.0</v>
      </c>
      <c r="N24" s="1">
        <v>74.0</v>
      </c>
      <c r="O24" s="1">
        <v>1366.0</v>
      </c>
      <c r="P24" s="1">
        <v>1308.0</v>
      </c>
    </row>
    <row r="25">
      <c r="A25" s="1">
        <v>1.624580081E9</v>
      </c>
      <c r="B25" s="2" t="s">
        <v>19</v>
      </c>
      <c r="C25" s="2" t="str">
        <f t="shared" si="1"/>
        <v>Tuesday</v>
      </c>
      <c r="D25" s="1">
        <v>1552.0</v>
      </c>
      <c r="E25" s="1">
        <v>1.00999999046326</v>
      </c>
      <c r="F25" s="1">
        <v>1.00999999046326</v>
      </c>
      <c r="G25" s="1">
        <v>0.0</v>
      </c>
      <c r="H25" s="1">
        <v>0.0</v>
      </c>
      <c r="I25" s="1">
        <v>0.0</v>
      </c>
      <c r="J25" s="1">
        <v>1.0</v>
      </c>
      <c r="K25" s="1">
        <v>0.0</v>
      </c>
      <c r="L25" s="1">
        <v>0.0</v>
      </c>
      <c r="M25" s="1">
        <v>0.0</v>
      </c>
      <c r="N25" s="1">
        <v>66.0</v>
      </c>
      <c r="O25" s="1">
        <v>1374.0</v>
      </c>
      <c r="P25" s="1">
        <v>1300.0</v>
      </c>
    </row>
    <row r="26">
      <c r="A26" s="1">
        <v>1.624580081E9</v>
      </c>
      <c r="B26" s="2">
        <v>42404.0</v>
      </c>
      <c r="C26" s="2" t="str">
        <f t="shared" si="1"/>
        <v>Thursday</v>
      </c>
      <c r="D26" s="1">
        <v>1556.0</v>
      </c>
      <c r="E26" s="1">
        <v>1.00999999046326</v>
      </c>
      <c r="F26" s="1">
        <v>1.00999999046326</v>
      </c>
      <c r="G26" s="1">
        <v>0.0</v>
      </c>
      <c r="H26" s="1">
        <v>0.0</v>
      </c>
      <c r="I26" s="1">
        <v>0.0</v>
      </c>
      <c r="J26" s="1">
        <v>1.00999999046326</v>
      </c>
      <c r="K26" s="1">
        <v>0.00999999977648258</v>
      </c>
      <c r="L26" s="1">
        <v>0.0</v>
      </c>
      <c r="M26" s="1">
        <v>0.0</v>
      </c>
      <c r="N26" s="1">
        <v>88.0</v>
      </c>
      <c r="O26" s="1">
        <v>1352.0</v>
      </c>
      <c r="P26" s="1">
        <v>1327.0</v>
      </c>
    </row>
    <row r="27">
      <c r="A27" s="1">
        <v>1.624580081E9</v>
      </c>
      <c r="B27" s="2" t="s">
        <v>17</v>
      </c>
      <c r="C27" s="2" t="str">
        <f t="shared" si="1"/>
        <v>Wednesday</v>
      </c>
      <c r="D27" s="1">
        <v>1675.0</v>
      </c>
      <c r="E27" s="1">
        <v>1.0900000333786</v>
      </c>
      <c r="F27" s="1">
        <v>1.0900000333786</v>
      </c>
      <c r="G27" s="1">
        <v>0.0</v>
      </c>
      <c r="H27" s="1">
        <v>0.0</v>
      </c>
      <c r="I27" s="1">
        <v>0.0</v>
      </c>
      <c r="J27" s="1">
        <v>1.0900000333786</v>
      </c>
      <c r="K27" s="1">
        <v>0.0</v>
      </c>
      <c r="L27" s="1">
        <v>0.0</v>
      </c>
      <c r="M27" s="1">
        <v>0.0</v>
      </c>
      <c r="N27" s="1">
        <v>84.0</v>
      </c>
      <c r="O27" s="1">
        <v>1356.0</v>
      </c>
      <c r="P27" s="1">
        <v>1313.0</v>
      </c>
    </row>
    <row r="28">
      <c r="A28" s="1">
        <v>1.624580081E9</v>
      </c>
      <c r="B28" s="2" t="s">
        <v>18</v>
      </c>
      <c r="C28" s="2" t="str">
        <f t="shared" si="1"/>
        <v>Friday</v>
      </c>
      <c r="D28" s="1">
        <v>1810.0</v>
      </c>
      <c r="E28" s="1">
        <v>1.17999994754791</v>
      </c>
      <c r="F28" s="1">
        <v>1.17999994754791</v>
      </c>
      <c r="G28" s="1">
        <v>0.0</v>
      </c>
      <c r="H28" s="1">
        <v>0.0</v>
      </c>
      <c r="I28" s="1">
        <v>0.0</v>
      </c>
      <c r="J28" s="1">
        <v>1.12999999523163</v>
      </c>
      <c r="K28" s="1">
        <v>0.00999999977648258</v>
      </c>
      <c r="L28" s="1">
        <v>0.0</v>
      </c>
      <c r="M28" s="1">
        <v>0.0</v>
      </c>
      <c r="N28" s="1">
        <v>121.0</v>
      </c>
      <c r="O28" s="1">
        <v>1319.0</v>
      </c>
      <c r="P28" s="1">
        <v>1373.0</v>
      </c>
    </row>
    <row r="29">
      <c r="A29" s="1">
        <v>1.624580081E9</v>
      </c>
      <c r="B29" s="2" t="s">
        <v>22</v>
      </c>
      <c r="C29" s="2" t="str">
        <f t="shared" si="1"/>
        <v>Monday</v>
      </c>
      <c r="D29" s="1">
        <v>1905.0</v>
      </c>
      <c r="E29" s="1">
        <v>1.24000000953674</v>
      </c>
      <c r="F29" s="1">
        <v>1.24000000953674</v>
      </c>
      <c r="G29" s="1">
        <v>0.0</v>
      </c>
      <c r="H29" s="1">
        <v>0.0</v>
      </c>
      <c r="I29" s="1">
        <v>0.0</v>
      </c>
      <c r="J29" s="1">
        <v>1.24000000953674</v>
      </c>
      <c r="K29" s="1">
        <v>0.0</v>
      </c>
      <c r="L29" s="1">
        <v>0.0</v>
      </c>
      <c r="M29" s="1">
        <v>0.0</v>
      </c>
      <c r="N29" s="1">
        <v>95.0</v>
      </c>
      <c r="O29" s="1">
        <v>1345.0</v>
      </c>
      <c r="P29" s="1">
        <v>1342.0</v>
      </c>
    </row>
    <row r="30">
      <c r="A30" s="1">
        <v>1.624580081E9</v>
      </c>
      <c r="B30" s="2" t="s">
        <v>21</v>
      </c>
      <c r="C30" s="2" t="str">
        <f t="shared" si="1"/>
        <v>Sunday</v>
      </c>
      <c r="D30" s="1">
        <v>1985.0</v>
      </c>
      <c r="E30" s="1">
        <v>1.28999996185303</v>
      </c>
      <c r="F30" s="1">
        <v>1.28999996185303</v>
      </c>
      <c r="G30" s="1">
        <v>0.0</v>
      </c>
      <c r="H30" s="1">
        <v>0.0</v>
      </c>
      <c r="I30" s="1">
        <v>0.0</v>
      </c>
      <c r="J30" s="1">
        <v>1.27999997138977</v>
      </c>
      <c r="K30" s="1">
        <v>0.00999999977648258</v>
      </c>
      <c r="L30" s="1">
        <v>0.0</v>
      </c>
      <c r="M30" s="1">
        <v>0.0</v>
      </c>
      <c r="N30" s="1">
        <v>112.0</v>
      </c>
      <c r="O30" s="1">
        <v>1328.0</v>
      </c>
      <c r="P30" s="1">
        <v>1350.0</v>
      </c>
    </row>
    <row r="31">
      <c r="A31" s="1">
        <v>1.624580081E9</v>
      </c>
      <c r="B31" s="2">
        <v>42433.0</v>
      </c>
      <c r="C31" s="2" t="str">
        <f t="shared" si="1"/>
        <v>Friday</v>
      </c>
      <c r="D31" s="1">
        <v>2910.0</v>
      </c>
      <c r="E31" s="1">
        <v>1.88999998569489</v>
      </c>
      <c r="F31" s="1">
        <v>1.88999998569489</v>
      </c>
      <c r="G31" s="1">
        <v>0.0</v>
      </c>
      <c r="H31" s="1">
        <v>0.0</v>
      </c>
      <c r="I31" s="1">
        <v>0.0</v>
      </c>
      <c r="J31" s="1">
        <v>1.87999999523163</v>
      </c>
      <c r="K31" s="1">
        <v>0.00999999977648258</v>
      </c>
      <c r="L31" s="1">
        <v>0.0</v>
      </c>
      <c r="M31" s="1">
        <v>0.0</v>
      </c>
      <c r="N31" s="1">
        <v>157.0</v>
      </c>
      <c r="O31" s="1">
        <v>1283.0</v>
      </c>
      <c r="P31" s="1">
        <v>1452.0</v>
      </c>
    </row>
    <row r="32">
      <c r="A32" s="1">
        <v>1.624580081E9</v>
      </c>
      <c r="B32" s="2">
        <v>42617.0</v>
      </c>
      <c r="C32" s="2" t="str">
        <f t="shared" si="1"/>
        <v>Sunday</v>
      </c>
      <c r="D32" s="1">
        <v>3572.0</v>
      </c>
      <c r="E32" s="1">
        <v>2.3199999332428</v>
      </c>
      <c r="F32" s="1">
        <v>2.3199999332428</v>
      </c>
      <c r="G32" s="1">
        <v>0.0</v>
      </c>
      <c r="H32" s="1">
        <v>0.0</v>
      </c>
      <c r="I32" s="1">
        <v>0.0</v>
      </c>
      <c r="J32" s="1">
        <v>2.28999996185303</v>
      </c>
      <c r="K32" s="1">
        <v>0.0299999993294477</v>
      </c>
      <c r="L32" s="1">
        <v>0.0</v>
      </c>
      <c r="M32" s="1">
        <v>0.0</v>
      </c>
      <c r="N32" s="1">
        <v>122.0</v>
      </c>
      <c r="O32" s="1">
        <v>1318.0</v>
      </c>
      <c r="P32" s="1">
        <v>1370.0</v>
      </c>
    </row>
    <row r="33">
      <c r="A33" s="1">
        <v>1.624580081E9</v>
      </c>
      <c r="B33" s="2">
        <v>42647.0</v>
      </c>
      <c r="C33" s="2" t="str">
        <f t="shared" si="1"/>
        <v>Tuesday</v>
      </c>
      <c r="D33" s="1">
        <v>3910.0</v>
      </c>
      <c r="E33" s="1">
        <v>2.53999996185303</v>
      </c>
      <c r="F33" s="1">
        <v>2.53999996185303</v>
      </c>
      <c r="G33" s="1">
        <v>0.0</v>
      </c>
      <c r="H33" s="1">
        <v>0.469999998807907</v>
      </c>
      <c r="I33" s="1">
        <v>0.25</v>
      </c>
      <c r="J33" s="1">
        <v>1.80999994277954</v>
      </c>
      <c r="K33" s="1">
        <v>0.00999999977648258</v>
      </c>
      <c r="L33" s="1">
        <v>7.0</v>
      </c>
      <c r="M33" s="1">
        <v>7.0</v>
      </c>
      <c r="N33" s="1">
        <v>186.0</v>
      </c>
      <c r="O33" s="1">
        <v>1240.0</v>
      </c>
      <c r="P33" s="1">
        <v>1555.0</v>
      </c>
    </row>
    <row r="34">
      <c r="A34" s="1">
        <v>1.624580081E9</v>
      </c>
      <c r="B34" s="2" t="s">
        <v>20</v>
      </c>
      <c r="C34" s="2" t="str">
        <f t="shared" si="1"/>
        <v>Thursday</v>
      </c>
      <c r="D34" s="1">
        <v>4506.0</v>
      </c>
      <c r="E34" s="1">
        <v>2.9300000667572</v>
      </c>
      <c r="F34" s="1">
        <v>2.9300000667572</v>
      </c>
      <c r="G34" s="1">
        <v>0.0</v>
      </c>
      <c r="H34" s="1">
        <v>0.509999990463257</v>
      </c>
      <c r="I34" s="1">
        <v>0.270000010728836</v>
      </c>
      <c r="J34" s="1">
        <v>2.15000009536743</v>
      </c>
      <c r="K34" s="1">
        <v>0.00999999977648258</v>
      </c>
      <c r="L34" s="1">
        <v>7.0</v>
      </c>
      <c r="M34" s="1">
        <v>4.0</v>
      </c>
      <c r="N34" s="1">
        <v>144.0</v>
      </c>
      <c r="O34" s="1">
        <v>1285.0</v>
      </c>
      <c r="P34" s="1">
        <v>1498.0</v>
      </c>
    </row>
    <row r="35">
      <c r="A35" s="1">
        <v>1.624580081E9</v>
      </c>
      <c r="B35" s="2">
        <v>42586.0</v>
      </c>
      <c r="C35" s="2" t="str">
        <f t="shared" si="1"/>
        <v>Thursday</v>
      </c>
      <c r="D35" s="1">
        <v>6344.0</v>
      </c>
      <c r="E35" s="1">
        <v>4.11999988555908</v>
      </c>
      <c r="F35" s="1">
        <v>4.11999988555908</v>
      </c>
      <c r="G35" s="1">
        <v>0.0</v>
      </c>
      <c r="H35" s="1">
        <v>0.0</v>
      </c>
      <c r="I35" s="1">
        <v>0.0</v>
      </c>
      <c r="J35" s="1">
        <v>4.09999990463257</v>
      </c>
      <c r="K35" s="1">
        <v>0.0</v>
      </c>
      <c r="L35" s="1">
        <v>0.0</v>
      </c>
      <c r="M35" s="1">
        <v>0.0</v>
      </c>
      <c r="N35" s="1">
        <v>143.0</v>
      </c>
      <c r="O35" s="1">
        <v>1297.0</v>
      </c>
      <c r="P35" s="1">
        <v>1409.0</v>
      </c>
    </row>
    <row r="36">
      <c r="A36" s="1">
        <v>1.624580081E9</v>
      </c>
      <c r="B36" s="2">
        <v>42708.0</v>
      </c>
      <c r="C36" s="2" t="str">
        <f t="shared" si="1"/>
        <v>Sunday</v>
      </c>
      <c r="D36" s="1">
        <v>6627.0</v>
      </c>
      <c r="E36" s="1">
        <v>4.30999994277954</v>
      </c>
      <c r="F36" s="1">
        <v>4.30999994277954</v>
      </c>
      <c r="G36" s="1">
        <v>0.0</v>
      </c>
      <c r="H36" s="1">
        <v>0.0</v>
      </c>
      <c r="I36" s="1">
        <v>0.0</v>
      </c>
      <c r="J36" s="1">
        <v>4.30999994277954</v>
      </c>
      <c r="K36" s="1">
        <v>0.0</v>
      </c>
      <c r="L36" s="1">
        <v>0.0</v>
      </c>
      <c r="M36" s="1">
        <v>0.0</v>
      </c>
      <c r="N36" s="1">
        <v>89.0</v>
      </c>
      <c r="O36" s="1">
        <v>604.0</v>
      </c>
      <c r="P36" s="1">
        <v>706.0</v>
      </c>
    </row>
    <row r="37">
      <c r="A37" s="1">
        <v>1.624580081E9</v>
      </c>
      <c r="B37" s="2">
        <v>42373.0</v>
      </c>
      <c r="C37" s="2" t="str">
        <f t="shared" si="1"/>
        <v>Monday</v>
      </c>
      <c r="D37" s="1">
        <v>9218.0</v>
      </c>
      <c r="E37" s="1">
        <v>5.98999977111816</v>
      </c>
      <c r="F37" s="1">
        <v>5.98999977111816</v>
      </c>
      <c r="G37" s="1">
        <v>0.0</v>
      </c>
      <c r="H37" s="1">
        <v>0.0</v>
      </c>
      <c r="I37" s="1">
        <v>0.0</v>
      </c>
      <c r="J37" s="1">
        <v>5.96999979019165</v>
      </c>
      <c r="K37" s="1">
        <v>0.00999999977648258</v>
      </c>
      <c r="L37" s="1">
        <v>0.0</v>
      </c>
      <c r="M37" s="1">
        <v>0.0</v>
      </c>
      <c r="N37" s="1">
        <v>221.0</v>
      </c>
      <c r="O37" s="1">
        <v>1219.0</v>
      </c>
      <c r="P37" s="1">
        <v>1541.0</v>
      </c>
    </row>
    <row r="38">
      <c r="A38" s="1">
        <v>1.624580081E9</v>
      </c>
      <c r="B38" s="2">
        <v>42678.0</v>
      </c>
      <c r="C38" s="2" t="str">
        <f t="shared" si="1"/>
        <v>Friday</v>
      </c>
      <c r="D38" s="1">
        <v>10000.0</v>
      </c>
      <c r="E38" s="1">
        <v>6.5</v>
      </c>
      <c r="F38" s="1">
        <v>6.5</v>
      </c>
      <c r="G38" s="1">
        <v>0.0</v>
      </c>
      <c r="H38" s="1">
        <v>0.0</v>
      </c>
      <c r="I38" s="1">
        <v>0.0</v>
      </c>
      <c r="J38" s="1">
        <v>6.5</v>
      </c>
      <c r="K38" s="1">
        <v>0.0</v>
      </c>
      <c r="L38" s="1">
        <v>0.0</v>
      </c>
      <c r="M38" s="1">
        <v>0.0</v>
      </c>
      <c r="N38" s="1">
        <v>172.0</v>
      </c>
      <c r="O38" s="1">
        <v>1268.0</v>
      </c>
      <c r="P38" s="1">
        <v>1469.0</v>
      </c>
    </row>
    <row r="39">
      <c r="A39" s="1">
        <v>1.624580081E9</v>
      </c>
      <c r="B39" s="2">
        <v>42464.0</v>
      </c>
      <c r="C39" s="2" t="str">
        <f t="shared" si="1"/>
        <v>Monday</v>
      </c>
      <c r="D39" s="1">
        <v>18464.0</v>
      </c>
      <c r="E39" s="1">
        <v>12.0</v>
      </c>
      <c r="F39" s="1">
        <v>12.0</v>
      </c>
      <c r="G39" s="1">
        <v>0.0</v>
      </c>
      <c r="H39" s="1">
        <v>0.0</v>
      </c>
      <c r="I39" s="1">
        <v>0.0</v>
      </c>
      <c r="J39" s="1">
        <v>12.0</v>
      </c>
      <c r="K39" s="1">
        <v>0.0</v>
      </c>
      <c r="L39" s="1">
        <v>0.0</v>
      </c>
      <c r="M39" s="1">
        <v>0.0</v>
      </c>
      <c r="N39" s="1">
        <v>270.0</v>
      </c>
      <c r="O39" s="1">
        <v>1170.0</v>
      </c>
      <c r="P39" s="1">
        <v>1574.0</v>
      </c>
    </row>
    <row r="40">
      <c r="A40" s="1">
        <v>1.644430081E9</v>
      </c>
      <c r="B40" s="2">
        <v>42647.0</v>
      </c>
      <c r="C40" s="2" t="str">
        <f t="shared" si="1"/>
        <v>Tuesday</v>
      </c>
      <c r="D40" s="1">
        <v>1329.0</v>
      </c>
      <c r="E40" s="1">
        <v>0.970000028610229</v>
      </c>
      <c r="F40" s="1">
        <v>0.970000028610229</v>
      </c>
      <c r="G40" s="1">
        <v>0.0</v>
      </c>
      <c r="H40" s="1">
        <v>0.0</v>
      </c>
      <c r="I40" s="1">
        <v>0.0</v>
      </c>
      <c r="J40" s="1">
        <v>0.970000028610229</v>
      </c>
      <c r="K40" s="1">
        <v>0.0</v>
      </c>
      <c r="L40" s="1">
        <v>0.0</v>
      </c>
      <c r="M40" s="1">
        <v>0.0</v>
      </c>
      <c r="N40" s="1">
        <v>35.0</v>
      </c>
      <c r="O40" s="1">
        <v>207.0</v>
      </c>
      <c r="P40" s="1">
        <v>489.0</v>
      </c>
    </row>
    <row r="41">
      <c r="A41" s="1">
        <v>1.644430081E9</v>
      </c>
      <c r="B41" s="2">
        <v>42464.0</v>
      </c>
      <c r="C41" s="2" t="str">
        <f t="shared" si="1"/>
        <v>Monday</v>
      </c>
      <c r="D41" s="1">
        <v>2819.0</v>
      </c>
      <c r="E41" s="1">
        <v>2.04999995231628</v>
      </c>
      <c r="F41" s="1">
        <v>2.04999995231628</v>
      </c>
      <c r="G41" s="1">
        <v>0.0</v>
      </c>
      <c r="H41" s="1">
        <v>0.310000002384186</v>
      </c>
      <c r="I41" s="1">
        <v>0.170000001788139</v>
      </c>
      <c r="J41" s="1">
        <v>1.55999994277954</v>
      </c>
      <c r="K41" s="1">
        <v>0.00999999977648258</v>
      </c>
      <c r="L41" s="1">
        <v>4.0</v>
      </c>
      <c r="M41" s="1">
        <v>4.0</v>
      </c>
      <c r="N41" s="1">
        <v>87.0</v>
      </c>
      <c r="O41" s="1">
        <v>1345.0</v>
      </c>
      <c r="P41" s="1">
        <v>2444.0</v>
      </c>
    </row>
    <row r="42">
      <c r="A42" s="1">
        <v>1.644430081E9</v>
      </c>
      <c r="B42" s="2">
        <v>42373.0</v>
      </c>
      <c r="C42" s="2" t="str">
        <f t="shared" si="1"/>
        <v>Monday</v>
      </c>
      <c r="D42" s="1">
        <v>4636.0</v>
      </c>
      <c r="E42" s="1">
        <v>3.41000008583069</v>
      </c>
      <c r="F42" s="1">
        <v>3.41000008583069</v>
      </c>
      <c r="G42" s="1">
        <v>0.0</v>
      </c>
      <c r="H42" s="1">
        <v>0.0</v>
      </c>
      <c r="I42" s="1">
        <v>0.779999971389771</v>
      </c>
      <c r="J42" s="1">
        <v>2.59999990463257</v>
      </c>
      <c r="K42" s="1">
        <v>0.0299999993294477</v>
      </c>
      <c r="L42" s="1">
        <v>0.0</v>
      </c>
      <c r="M42" s="1">
        <v>16.0</v>
      </c>
      <c r="N42" s="1">
        <v>586.0</v>
      </c>
      <c r="O42" s="1">
        <v>838.0</v>
      </c>
      <c r="P42" s="1">
        <v>3323.0</v>
      </c>
    </row>
    <row r="43">
      <c r="A43" s="1">
        <v>1.644430081E9</v>
      </c>
      <c r="B43" s="2">
        <v>42586.0</v>
      </c>
      <c r="C43" s="2" t="str">
        <f t="shared" si="1"/>
        <v>Thursday</v>
      </c>
      <c r="D43" s="1">
        <v>7842.0</v>
      </c>
      <c r="E43" s="1">
        <v>5.69999980926514</v>
      </c>
      <c r="F43" s="1">
        <v>5.69999980926514</v>
      </c>
      <c r="G43" s="1">
        <v>0.0</v>
      </c>
      <c r="H43" s="1">
        <v>0.479999989271164</v>
      </c>
      <c r="I43" s="1">
        <v>2.41000008583069</v>
      </c>
      <c r="J43" s="1">
        <v>2.80999994277954</v>
      </c>
      <c r="K43" s="1">
        <v>0.0</v>
      </c>
      <c r="L43" s="1">
        <v>7.0</v>
      </c>
      <c r="M43" s="1">
        <v>43.0</v>
      </c>
      <c r="N43" s="1">
        <v>161.0</v>
      </c>
      <c r="O43" s="1">
        <v>1229.0</v>
      </c>
      <c r="P43" s="1">
        <v>2928.0</v>
      </c>
    </row>
    <row r="44">
      <c r="A44" s="1">
        <v>1.644430081E9</v>
      </c>
      <c r="B44" s="2">
        <v>42525.0</v>
      </c>
      <c r="C44" s="2" t="str">
        <f t="shared" si="1"/>
        <v>Saturday</v>
      </c>
      <c r="D44" s="1">
        <v>8046.0</v>
      </c>
      <c r="E44" s="1">
        <v>5.84999990463257</v>
      </c>
      <c r="F44" s="1">
        <v>5.84999990463257</v>
      </c>
      <c r="G44" s="1">
        <v>0.0</v>
      </c>
      <c r="H44" s="1">
        <v>1.28999996185303</v>
      </c>
      <c r="I44" s="1">
        <v>2.11999988555908</v>
      </c>
      <c r="J44" s="1">
        <v>2.45000004768372</v>
      </c>
      <c r="K44" s="1">
        <v>0.0</v>
      </c>
      <c r="L44" s="1">
        <v>18.0</v>
      </c>
      <c r="M44" s="1">
        <v>41.0</v>
      </c>
      <c r="N44" s="1">
        <v>137.0</v>
      </c>
      <c r="O44" s="1">
        <v>1244.0</v>
      </c>
      <c r="P44" s="1">
        <v>2925.0</v>
      </c>
    </row>
    <row r="45">
      <c r="A45" s="1">
        <v>1.644430081E9</v>
      </c>
      <c r="B45" s="2">
        <v>42494.0</v>
      </c>
      <c r="C45" s="2" t="str">
        <f t="shared" si="1"/>
        <v>Wednesday</v>
      </c>
      <c r="D45" s="1">
        <v>9921.0</v>
      </c>
      <c r="E45" s="1">
        <v>7.21000003814697</v>
      </c>
      <c r="F45" s="1">
        <v>7.21000003814697</v>
      </c>
      <c r="G45" s="1">
        <v>0.0</v>
      </c>
      <c r="H45" s="1">
        <v>0.340000003576279</v>
      </c>
      <c r="I45" s="1">
        <v>1.51999998092651</v>
      </c>
      <c r="J45" s="1">
        <v>5.3600001335144</v>
      </c>
      <c r="K45" s="1">
        <v>0.0</v>
      </c>
      <c r="L45" s="1">
        <v>5.0</v>
      </c>
      <c r="M45" s="1">
        <v>35.0</v>
      </c>
      <c r="N45" s="1">
        <v>219.0</v>
      </c>
      <c r="O45" s="1">
        <v>1181.0</v>
      </c>
      <c r="P45" s="1">
        <v>3098.0</v>
      </c>
    </row>
    <row r="46">
      <c r="A46" s="1">
        <v>1.644430081E9</v>
      </c>
      <c r="B46" s="2">
        <v>42555.0</v>
      </c>
      <c r="C46" s="2" t="str">
        <f t="shared" si="1"/>
        <v>Monday</v>
      </c>
      <c r="D46" s="1">
        <v>11166.0</v>
      </c>
      <c r="E46" s="1">
        <v>8.11999988555908</v>
      </c>
      <c r="F46" s="1">
        <v>8.11999988555908</v>
      </c>
      <c r="G46" s="1">
        <v>0.0</v>
      </c>
      <c r="H46" s="1">
        <v>0.209999993443489</v>
      </c>
      <c r="I46" s="1">
        <v>2.41000008583069</v>
      </c>
      <c r="J46" s="1">
        <v>5.5</v>
      </c>
      <c r="K46" s="1">
        <v>0.0</v>
      </c>
      <c r="L46" s="1">
        <v>3.0</v>
      </c>
      <c r="M46" s="1">
        <v>58.0</v>
      </c>
      <c r="N46" s="1">
        <v>230.0</v>
      </c>
      <c r="O46" s="1">
        <v>1149.0</v>
      </c>
      <c r="P46" s="1">
        <v>3202.0</v>
      </c>
    </row>
    <row r="47">
      <c r="A47" s="1">
        <v>1.644430081E9</v>
      </c>
      <c r="B47" s="2">
        <v>42433.0</v>
      </c>
      <c r="C47" s="2" t="str">
        <f t="shared" si="1"/>
        <v>Friday</v>
      </c>
      <c r="D47" s="1">
        <v>12912.0</v>
      </c>
      <c r="E47" s="1">
        <v>9.40999984741211</v>
      </c>
      <c r="F47" s="1">
        <v>9.40999984741211</v>
      </c>
      <c r="G47" s="1">
        <v>0.0</v>
      </c>
      <c r="H47" s="1">
        <v>4.82999992370605</v>
      </c>
      <c r="I47" s="1">
        <v>0.769999980926514</v>
      </c>
      <c r="J47" s="1">
        <v>3.78999996185303</v>
      </c>
      <c r="K47" s="1">
        <v>0.0299999993294477</v>
      </c>
      <c r="L47" s="1">
        <v>59.0</v>
      </c>
      <c r="M47" s="1">
        <v>16.0</v>
      </c>
      <c r="N47" s="1">
        <v>283.0</v>
      </c>
      <c r="O47" s="1">
        <v>1082.0</v>
      </c>
      <c r="P47" s="1">
        <v>3436.0</v>
      </c>
    </row>
    <row r="48">
      <c r="A48" s="1">
        <v>1.644430081E9</v>
      </c>
      <c r="B48" s="2">
        <v>42617.0</v>
      </c>
      <c r="C48" s="2" t="str">
        <f t="shared" si="1"/>
        <v>Sunday</v>
      </c>
      <c r="D48" s="1">
        <v>13840.0</v>
      </c>
      <c r="E48" s="1">
        <v>10.0600004196167</v>
      </c>
      <c r="F48" s="1">
        <v>10.0600004196167</v>
      </c>
      <c r="G48" s="1">
        <v>0.0</v>
      </c>
      <c r="H48" s="1">
        <v>1.30999994277954</v>
      </c>
      <c r="I48" s="1">
        <v>3.72000002861023</v>
      </c>
      <c r="J48" s="1">
        <v>5.03000020980835</v>
      </c>
      <c r="K48" s="1">
        <v>0.0</v>
      </c>
      <c r="L48" s="1">
        <v>18.0</v>
      </c>
      <c r="M48" s="1">
        <v>81.0</v>
      </c>
      <c r="N48" s="1">
        <v>192.0</v>
      </c>
      <c r="O48" s="1">
        <v>1149.0</v>
      </c>
      <c r="P48" s="1">
        <v>3290.0</v>
      </c>
    </row>
    <row r="49">
      <c r="A49" s="1">
        <v>1.644430081E9</v>
      </c>
      <c r="B49" s="2">
        <v>42404.0</v>
      </c>
      <c r="C49" s="2" t="str">
        <f t="shared" si="1"/>
        <v>Thursday</v>
      </c>
      <c r="D49" s="1">
        <v>20237.0</v>
      </c>
      <c r="E49" s="1">
        <v>14.710000038147</v>
      </c>
      <c r="F49" s="1">
        <v>14.710000038147</v>
      </c>
      <c r="G49" s="1">
        <v>0.0</v>
      </c>
      <c r="H49" s="1">
        <v>2.5699999332428</v>
      </c>
      <c r="I49" s="1">
        <v>6.40000009536743</v>
      </c>
      <c r="J49" s="1">
        <v>5.73000001907349</v>
      </c>
      <c r="K49" s="1">
        <v>0.00999999977648258</v>
      </c>
      <c r="L49" s="1">
        <v>34.0</v>
      </c>
      <c r="M49" s="1">
        <v>141.0</v>
      </c>
      <c r="N49" s="1">
        <v>347.0</v>
      </c>
      <c r="O49" s="1">
        <v>918.0</v>
      </c>
      <c r="P49" s="1">
        <v>4029.0</v>
      </c>
    </row>
    <row r="50">
      <c r="A50" s="1">
        <v>1.844505072E9</v>
      </c>
      <c r="B50" s="2">
        <v>42525.0</v>
      </c>
      <c r="C50" s="2" t="str">
        <f t="shared" si="1"/>
        <v>Saturday</v>
      </c>
      <c r="D50" s="1">
        <v>7.0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1.0</v>
      </c>
      <c r="O50" s="1">
        <v>1439.0</v>
      </c>
      <c r="P50" s="1">
        <v>1349.0</v>
      </c>
    </row>
    <row r="51">
      <c r="A51" s="1">
        <v>1.844505072E9</v>
      </c>
      <c r="B51" s="2">
        <v>42433.0</v>
      </c>
      <c r="C51" s="2" t="str">
        <f t="shared" si="1"/>
        <v>Friday</v>
      </c>
      <c r="D51" s="1">
        <v>2841.0</v>
      </c>
      <c r="E51" s="1">
        <v>1.87999999523163</v>
      </c>
      <c r="F51" s="1">
        <v>1.87999999523163</v>
      </c>
      <c r="G51" s="1">
        <v>0.0</v>
      </c>
      <c r="H51" s="1">
        <v>0.0</v>
      </c>
      <c r="I51" s="1">
        <v>0.0</v>
      </c>
      <c r="J51" s="1">
        <v>1.87999999523163</v>
      </c>
      <c r="K51" s="1">
        <v>0.0</v>
      </c>
      <c r="L51" s="1">
        <v>0.0</v>
      </c>
      <c r="M51" s="1">
        <v>0.0</v>
      </c>
      <c r="N51" s="1">
        <v>136.0</v>
      </c>
      <c r="O51" s="1">
        <v>1114.0</v>
      </c>
      <c r="P51" s="1">
        <v>1636.0</v>
      </c>
    </row>
    <row r="52">
      <c r="A52" s="1">
        <v>1.844505072E9</v>
      </c>
      <c r="B52" s="2">
        <v>42617.0</v>
      </c>
      <c r="C52" s="2" t="str">
        <f t="shared" si="1"/>
        <v>Sunday</v>
      </c>
      <c r="D52" s="1">
        <v>4979.0</v>
      </c>
      <c r="E52" s="1">
        <v>3.28999996185303</v>
      </c>
      <c r="F52" s="1">
        <v>3.28999996185303</v>
      </c>
      <c r="G52" s="1">
        <v>0.0</v>
      </c>
      <c r="H52" s="1">
        <v>0.0</v>
      </c>
      <c r="I52" s="1">
        <v>0.0</v>
      </c>
      <c r="J52" s="1">
        <v>3.28999996185303</v>
      </c>
      <c r="K52" s="1">
        <v>0.0</v>
      </c>
      <c r="L52" s="1">
        <v>0.0</v>
      </c>
      <c r="M52" s="1">
        <v>0.0</v>
      </c>
      <c r="N52" s="1">
        <v>184.0</v>
      </c>
      <c r="O52" s="1">
        <v>620.0</v>
      </c>
      <c r="P52" s="1">
        <v>1807.0</v>
      </c>
    </row>
    <row r="53">
      <c r="A53" s="1">
        <v>1.844505072E9</v>
      </c>
      <c r="B53" s="2">
        <v>42586.0</v>
      </c>
      <c r="C53" s="2" t="str">
        <f t="shared" si="1"/>
        <v>Thursday</v>
      </c>
      <c r="D53" s="1">
        <v>5316.0</v>
      </c>
      <c r="E53" s="1">
        <v>3.50999999046326</v>
      </c>
      <c r="F53" s="1">
        <v>3.50999999046326</v>
      </c>
      <c r="G53" s="1">
        <v>0.0</v>
      </c>
      <c r="H53" s="1">
        <v>0.0</v>
      </c>
      <c r="I53" s="1">
        <v>0.0</v>
      </c>
      <c r="J53" s="1">
        <v>3.50999999046326</v>
      </c>
      <c r="K53" s="1">
        <v>0.0</v>
      </c>
      <c r="L53" s="1">
        <v>0.0</v>
      </c>
      <c r="M53" s="1">
        <v>0.0</v>
      </c>
      <c r="N53" s="1">
        <v>221.0</v>
      </c>
      <c r="O53" s="1">
        <v>1219.0</v>
      </c>
      <c r="P53" s="1">
        <v>1824.0</v>
      </c>
    </row>
    <row r="54">
      <c r="A54" s="1">
        <v>1.844505072E9</v>
      </c>
      <c r="B54" s="2">
        <v>42404.0</v>
      </c>
      <c r="C54" s="2" t="str">
        <f t="shared" si="1"/>
        <v>Thursday</v>
      </c>
      <c r="D54" s="1">
        <v>5367.0</v>
      </c>
      <c r="E54" s="1">
        <v>3.54999995231628</v>
      </c>
      <c r="F54" s="1">
        <v>3.54999995231628</v>
      </c>
      <c r="G54" s="1">
        <v>0.0</v>
      </c>
      <c r="H54" s="1">
        <v>0.0</v>
      </c>
      <c r="I54" s="1">
        <v>0.0</v>
      </c>
      <c r="J54" s="1">
        <v>3.54999995231628</v>
      </c>
      <c r="K54" s="1">
        <v>0.0</v>
      </c>
      <c r="L54" s="1">
        <v>0.0</v>
      </c>
      <c r="M54" s="1">
        <v>0.0</v>
      </c>
      <c r="N54" s="1">
        <v>263.0</v>
      </c>
      <c r="O54" s="1">
        <v>1177.0</v>
      </c>
      <c r="P54" s="1">
        <v>1889.0</v>
      </c>
    </row>
    <row r="55">
      <c r="A55" s="1">
        <v>1.844505072E9</v>
      </c>
      <c r="B55" s="2">
        <v>42678.0</v>
      </c>
      <c r="C55" s="2" t="str">
        <f t="shared" si="1"/>
        <v>Friday</v>
      </c>
      <c r="D55" s="1">
        <v>5430.0</v>
      </c>
      <c r="E55" s="1">
        <v>3.58999991416931</v>
      </c>
      <c r="F55" s="1">
        <v>3.58999991416931</v>
      </c>
      <c r="G55" s="1">
        <v>0.0</v>
      </c>
      <c r="H55" s="1">
        <v>0.0</v>
      </c>
      <c r="I55" s="1">
        <v>0.0</v>
      </c>
      <c r="J55" s="1">
        <v>3.58999991416931</v>
      </c>
      <c r="K55" s="1">
        <v>0.0</v>
      </c>
      <c r="L55" s="1">
        <v>0.0</v>
      </c>
      <c r="M55" s="1">
        <v>0.0</v>
      </c>
      <c r="N55" s="1">
        <v>251.0</v>
      </c>
      <c r="O55" s="1">
        <v>1189.0</v>
      </c>
      <c r="P55" s="1">
        <v>1888.0</v>
      </c>
    </row>
    <row r="56">
      <c r="A56" s="1">
        <v>1.844505072E9</v>
      </c>
      <c r="B56" s="2">
        <v>42555.0</v>
      </c>
      <c r="C56" s="2" t="str">
        <f t="shared" si="1"/>
        <v>Monday</v>
      </c>
      <c r="D56" s="1">
        <v>6344.0</v>
      </c>
      <c r="E56" s="1">
        <v>4.19000005722046</v>
      </c>
      <c r="F56" s="1">
        <v>4.19000005722046</v>
      </c>
      <c r="G56" s="1">
        <v>0.0</v>
      </c>
      <c r="H56" s="1">
        <v>0.0</v>
      </c>
      <c r="I56" s="1">
        <v>0.0</v>
      </c>
      <c r="J56" s="1">
        <v>4.19000005722046</v>
      </c>
      <c r="K56" s="1">
        <v>0.0</v>
      </c>
      <c r="L56" s="1">
        <v>0.0</v>
      </c>
      <c r="M56" s="1">
        <v>0.0</v>
      </c>
      <c r="N56" s="1">
        <v>290.0</v>
      </c>
      <c r="O56" s="1">
        <v>1150.0</v>
      </c>
      <c r="P56" s="1">
        <v>1965.0</v>
      </c>
    </row>
    <row r="57">
      <c r="A57" s="1">
        <v>1.844505072E9</v>
      </c>
      <c r="B57" s="2">
        <v>42647.0</v>
      </c>
      <c r="C57" s="2" t="str">
        <f t="shared" si="1"/>
        <v>Tuesday</v>
      </c>
      <c r="D57" s="1">
        <v>6556.0</v>
      </c>
      <c r="E57" s="1">
        <v>4.34000015258789</v>
      </c>
      <c r="F57" s="1">
        <v>4.34000015258789</v>
      </c>
      <c r="G57" s="1">
        <v>0.0</v>
      </c>
      <c r="H57" s="1">
        <v>0.0</v>
      </c>
      <c r="I57" s="1">
        <v>0.0</v>
      </c>
      <c r="J57" s="1">
        <v>4.32999992370605</v>
      </c>
      <c r="K57" s="1">
        <v>0.0</v>
      </c>
      <c r="L57" s="1">
        <v>0.0</v>
      </c>
      <c r="M57" s="1">
        <v>0.0</v>
      </c>
      <c r="N57" s="1">
        <v>305.0</v>
      </c>
      <c r="O57" s="1">
        <v>810.0</v>
      </c>
      <c r="P57" s="1">
        <v>1971.0</v>
      </c>
    </row>
    <row r="58">
      <c r="A58" s="1">
        <v>1.844505072E9</v>
      </c>
      <c r="B58" s="2">
        <v>42373.0</v>
      </c>
      <c r="C58" s="2" t="str">
        <f t="shared" si="1"/>
        <v>Monday</v>
      </c>
      <c r="D58" s="1">
        <v>6847.0</v>
      </c>
      <c r="E58" s="1">
        <v>4.53000020980835</v>
      </c>
      <c r="F58" s="1">
        <v>4.53000020980835</v>
      </c>
      <c r="G58" s="1">
        <v>0.0</v>
      </c>
      <c r="H58" s="1">
        <v>0.610000014305115</v>
      </c>
      <c r="I58" s="1">
        <v>0.370000004768372</v>
      </c>
      <c r="J58" s="1">
        <v>3.54999995231628</v>
      </c>
      <c r="K58" s="1">
        <v>0.0</v>
      </c>
      <c r="L58" s="1">
        <v>9.0</v>
      </c>
      <c r="M58" s="1">
        <v>9.0</v>
      </c>
      <c r="N58" s="1">
        <v>251.0</v>
      </c>
      <c r="O58" s="1">
        <v>1171.0</v>
      </c>
      <c r="P58" s="1">
        <v>1969.0</v>
      </c>
    </row>
    <row r="59">
      <c r="A59" s="1">
        <v>1.927972279E9</v>
      </c>
      <c r="B59" s="2">
        <v>42708.0</v>
      </c>
      <c r="C59" s="2" t="str">
        <f t="shared" si="1"/>
        <v>Sunday</v>
      </c>
      <c r="D59" s="1">
        <v>24.0</v>
      </c>
      <c r="E59" s="1">
        <v>0.0199999995529652</v>
      </c>
      <c r="F59" s="1">
        <v>0.0199999995529652</v>
      </c>
      <c r="G59" s="1">
        <v>0.0</v>
      </c>
      <c r="H59" s="1">
        <v>0.0</v>
      </c>
      <c r="I59" s="1">
        <v>0.0</v>
      </c>
      <c r="J59" s="1">
        <v>0.0199999995529652</v>
      </c>
      <c r="K59" s="1">
        <v>0.0</v>
      </c>
      <c r="L59" s="1">
        <v>0.0</v>
      </c>
      <c r="M59" s="1">
        <v>0.0</v>
      </c>
      <c r="N59" s="1">
        <v>3.0</v>
      </c>
      <c r="O59" s="1">
        <v>161.0</v>
      </c>
      <c r="P59" s="1">
        <v>942.0</v>
      </c>
    </row>
    <row r="60">
      <c r="A60" s="1">
        <v>1.927972279E9</v>
      </c>
      <c r="B60" s="2">
        <v>42586.0</v>
      </c>
      <c r="C60" s="2" t="str">
        <f t="shared" si="1"/>
        <v>Thursday</v>
      </c>
      <c r="D60" s="1">
        <v>519.0</v>
      </c>
      <c r="E60" s="1">
        <v>0.360000014305115</v>
      </c>
      <c r="F60" s="1">
        <v>0.360000014305115</v>
      </c>
      <c r="G60" s="1">
        <v>0.0</v>
      </c>
      <c r="H60" s="1">
        <v>0.0</v>
      </c>
      <c r="I60" s="1">
        <v>0.0</v>
      </c>
      <c r="J60" s="1">
        <v>0.360000014305115</v>
      </c>
      <c r="K60" s="1">
        <v>0.0</v>
      </c>
      <c r="L60" s="1">
        <v>0.0</v>
      </c>
      <c r="M60" s="1">
        <v>0.0</v>
      </c>
      <c r="N60" s="1">
        <v>34.0</v>
      </c>
      <c r="O60" s="1">
        <v>1406.0</v>
      </c>
      <c r="P60" s="1">
        <v>2088.0</v>
      </c>
    </row>
    <row r="61">
      <c r="A61" s="1">
        <v>1.927972279E9</v>
      </c>
      <c r="B61" s="2">
        <v>42555.0</v>
      </c>
      <c r="C61" s="2" t="str">
        <f t="shared" si="1"/>
        <v>Monday</v>
      </c>
      <c r="D61" s="1">
        <v>768.0</v>
      </c>
      <c r="E61" s="1">
        <v>0.529999971389771</v>
      </c>
      <c r="F61" s="1">
        <v>0.529999971389771</v>
      </c>
      <c r="G61" s="1">
        <v>0.0</v>
      </c>
      <c r="H61" s="1">
        <v>0.0</v>
      </c>
      <c r="I61" s="1">
        <v>0.0</v>
      </c>
      <c r="J61" s="1">
        <v>0.529999971389771</v>
      </c>
      <c r="K61" s="1">
        <v>0.0</v>
      </c>
      <c r="L61" s="1">
        <v>0.0</v>
      </c>
      <c r="M61" s="1">
        <v>0.0</v>
      </c>
      <c r="N61" s="1">
        <v>43.0</v>
      </c>
      <c r="O61" s="1">
        <v>1397.0</v>
      </c>
      <c r="P61" s="1">
        <v>2130.0</v>
      </c>
    </row>
    <row r="62">
      <c r="A62" s="1">
        <v>1.927972279E9</v>
      </c>
      <c r="B62" s="2">
        <v>42678.0</v>
      </c>
      <c r="C62" s="2" t="str">
        <f t="shared" si="1"/>
        <v>Friday</v>
      </c>
      <c r="D62" s="1">
        <v>1209.0</v>
      </c>
      <c r="E62" s="1">
        <v>0.839999973773956</v>
      </c>
      <c r="F62" s="1">
        <v>0.839999973773956</v>
      </c>
      <c r="G62" s="1">
        <v>0.0</v>
      </c>
      <c r="H62" s="1">
        <v>0.0</v>
      </c>
      <c r="I62" s="1">
        <v>0.0</v>
      </c>
      <c r="J62" s="1">
        <v>0.839999973773956</v>
      </c>
      <c r="K62" s="1">
        <v>0.0</v>
      </c>
      <c r="L62" s="1">
        <v>0.0</v>
      </c>
      <c r="M62" s="1">
        <v>0.0</v>
      </c>
      <c r="N62" s="1">
        <v>73.0</v>
      </c>
      <c r="O62" s="1">
        <v>842.0</v>
      </c>
      <c r="P62" s="1">
        <v>2255.0</v>
      </c>
    </row>
    <row r="63">
      <c r="A63" s="1">
        <v>1.927972279E9</v>
      </c>
      <c r="B63" s="2">
        <v>42525.0</v>
      </c>
      <c r="C63" s="2" t="str">
        <f t="shared" si="1"/>
        <v>Saturday</v>
      </c>
      <c r="D63" s="1">
        <v>1259.0</v>
      </c>
      <c r="E63" s="1">
        <v>0.870000004768372</v>
      </c>
      <c r="F63" s="1">
        <v>0.870000004768372</v>
      </c>
      <c r="G63" s="1">
        <v>0.0</v>
      </c>
      <c r="H63" s="1">
        <v>0.0</v>
      </c>
      <c r="I63" s="1">
        <v>0.0</v>
      </c>
      <c r="J63" s="1">
        <v>0.870000004768372</v>
      </c>
      <c r="K63" s="1">
        <v>0.0</v>
      </c>
      <c r="L63" s="1">
        <v>0.0</v>
      </c>
      <c r="M63" s="1">
        <v>0.0</v>
      </c>
      <c r="N63" s="1">
        <v>73.0</v>
      </c>
      <c r="O63" s="1">
        <v>938.0</v>
      </c>
      <c r="P63" s="1">
        <v>2202.0</v>
      </c>
    </row>
    <row r="64">
      <c r="A64" s="1">
        <v>1.927972279E9</v>
      </c>
      <c r="B64" s="2">
        <v>42647.0</v>
      </c>
      <c r="C64" s="2" t="str">
        <f t="shared" si="1"/>
        <v>Tuesday</v>
      </c>
      <c r="D64" s="1">
        <v>2105.0</v>
      </c>
      <c r="E64" s="1">
        <v>1.46000003814697</v>
      </c>
      <c r="F64" s="1">
        <v>1.46000003814697</v>
      </c>
      <c r="G64" s="1">
        <v>0.0</v>
      </c>
      <c r="H64" s="1">
        <v>0.0</v>
      </c>
      <c r="I64" s="1">
        <v>0.0</v>
      </c>
      <c r="J64" s="1">
        <v>1.46000003814697</v>
      </c>
      <c r="K64" s="1">
        <v>0.0</v>
      </c>
      <c r="L64" s="1">
        <v>0.0</v>
      </c>
      <c r="M64" s="1">
        <v>0.0</v>
      </c>
      <c r="N64" s="1">
        <v>139.0</v>
      </c>
      <c r="O64" s="1">
        <v>805.0</v>
      </c>
      <c r="P64" s="1">
        <v>2442.0</v>
      </c>
    </row>
    <row r="65">
      <c r="A65" s="1">
        <v>1.927972279E9</v>
      </c>
      <c r="B65" s="2">
        <v>42494.0</v>
      </c>
      <c r="C65" s="2" t="str">
        <f t="shared" si="1"/>
        <v>Wednesday</v>
      </c>
      <c r="D65" s="1">
        <v>2234.0</v>
      </c>
      <c r="E65" s="1">
        <v>1.54999995231628</v>
      </c>
      <c r="F65" s="1">
        <v>1.54999995231628</v>
      </c>
      <c r="G65" s="1">
        <v>0.0</v>
      </c>
      <c r="H65" s="1">
        <v>0.0</v>
      </c>
      <c r="I65" s="1">
        <v>0.0</v>
      </c>
      <c r="J65" s="1">
        <v>1.54999995231628</v>
      </c>
      <c r="K65" s="1">
        <v>0.0</v>
      </c>
      <c r="L65" s="1">
        <v>0.0</v>
      </c>
      <c r="M65" s="1">
        <v>0.0</v>
      </c>
      <c r="N65" s="1">
        <v>108.0</v>
      </c>
      <c r="O65" s="1">
        <v>912.0</v>
      </c>
      <c r="P65" s="1">
        <v>2344.0</v>
      </c>
    </row>
    <row r="66">
      <c r="A66" s="1">
        <v>1.927972279E9</v>
      </c>
      <c r="B66" s="2">
        <v>42464.0</v>
      </c>
      <c r="C66" s="2" t="str">
        <f t="shared" si="1"/>
        <v>Monday</v>
      </c>
      <c r="D66" s="1">
        <v>2352.0</v>
      </c>
      <c r="E66" s="1">
        <v>1.62999999523163</v>
      </c>
      <c r="F66" s="1">
        <v>1.62999999523163</v>
      </c>
      <c r="G66" s="1">
        <v>0.0</v>
      </c>
      <c r="H66" s="1">
        <v>0.0</v>
      </c>
      <c r="I66" s="1">
        <v>0.0</v>
      </c>
      <c r="J66" s="1">
        <v>1.62999999523163</v>
      </c>
      <c r="K66" s="1">
        <v>0.0</v>
      </c>
      <c r="L66" s="1">
        <v>0.0</v>
      </c>
      <c r="M66" s="1">
        <v>0.0</v>
      </c>
      <c r="N66" s="1">
        <v>128.0</v>
      </c>
      <c r="O66" s="1">
        <v>829.0</v>
      </c>
      <c r="P66" s="1">
        <v>2380.0</v>
      </c>
    </row>
    <row r="67">
      <c r="A67" s="1">
        <v>1.927972279E9</v>
      </c>
      <c r="B67" s="2">
        <v>42617.0</v>
      </c>
      <c r="C67" s="2" t="str">
        <f t="shared" si="1"/>
        <v>Sunday</v>
      </c>
      <c r="D67" s="1">
        <v>2523.0</v>
      </c>
      <c r="E67" s="1">
        <v>1.75</v>
      </c>
      <c r="F67" s="1">
        <v>1.75</v>
      </c>
      <c r="G67" s="1">
        <v>0.0</v>
      </c>
      <c r="H67" s="1">
        <v>0.0</v>
      </c>
      <c r="I67" s="1">
        <v>0.370000004768372</v>
      </c>
      <c r="J67" s="1">
        <v>1.37999999523163</v>
      </c>
      <c r="K67" s="1">
        <v>0.0</v>
      </c>
      <c r="L67" s="1">
        <v>0.0</v>
      </c>
      <c r="M67" s="1">
        <v>9.0</v>
      </c>
      <c r="N67" s="1">
        <v>134.0</v>
      </c>
      <c r="O67" s="1">
        <v>1250.0</v>
      </c>
      <c r="P67" s="1">
        <v>2443.0</v>
      </c>
    </row>
    <row r="68">
      <c r="A68" s="1">
        <v>1.927972279E9</v>
      </c>
      <c r="B68" s="2">
        <v>42433.0</v>
      </c>
      <c r="C68" s="2" t="str">
        <f t="shared" si="1"/>
        <v>Friday</v>
      </c>
      <c r="D68" s="1">
        <v>3198.0</v>
      </c>
      <c r="E68" s="1">
        <v>2.21000003814697</v>
      </c>
      <c r="F68" s="1">
        <v>2.21000003814697</v>
      </c>
      <c r="G68" s="1">
        <v>0.0</v>
      </c>
      <c r="H68" s="1">
        <v>0.0</v>
      </c>
      <c r="I68" s="1">
        <v>0.0</v>
      </c>
      <c r="J68" s="1">
        <v>2.21000003814697</v>
      </c>
      <c r="K68" s="1">
        <v>0.0</v>
      </c>
      <c r="L68" s="1">
        <v>0.0</v>
      </c>
      <c r="M68" s="1">
        <v>0.0</v>
      </c>
      <c r="N68" s="1">
        <v>146.0</v>
      </c>
      <c r="O68" s="1">
        <v>1183.0</v>
      </c>
      <c r="P68" s="1">
        <v>2449.0</v>
      </c>
    </row>
    <row r="69">
      <c r="A69" s="1">
        <v>1.927972279E9</v>
      </c>
      <c r="B69" s="2">
        <v>42373.0</v>
      </c>
      <c r="C69" s="2" t="str">
        <f t="shared" si="1"/>
        <v>Monday</v>
      </c>
      <c r="D69" s="1">
        <v>4317.0</v>
      </c>
      <c r="E69" s="1">
        <v>2.99000000953674</v>
      </c>
      <c r="F69" s="1">
        <v>2.99000000953674</v>
      </c>
      <c r="G69" s="1">
        <v>0.0</v>
      </c>
      <c r="H69" s="1">
        <v>0.0</v>
      </c>
      <c r="I69" s="1">
        <v>0.370000004768372</v>
      </c>
      <c r="J69" s="1">
        <v>2.61999988555908</v>
      </c>
      <c r="K69" s="1">
        <v>0.0</v>
      </c>
      <c r="L69" s="1">
        <v>0.0</v>
      </c>
      <c r="M69" s="1">
        <v>11.0</v>
      </c>
      <c r="N69" s="1">
        <v>192.0</v>
      </c>
      <c r="O69" s="1">
        <v>854.0</v>
      </c>
      <c r="P69" s="1">
        <v>2590.0</v>
      </c>
    </row>
    <row r="70">
      <c r="A70" s="1">
        <v>1.927972279E9</v>
      </c>
      <c r="B70" s="2">
        <v>42404.0</v>
      </c>
      <c r="C70" s="2" t="str">
        <f t="shared" si="1"/>
        <v>Thursday</v>
      </c>
      <c r="D70" s="1">
        <v>5662.0</v>
      </c>
      <c r="E70" s="1">
        <v>3.92000007629395</v>
      </c>
      <c r="F70" s="1">
        <v>3.92000007629395</v>
      </c>
      <c r="G70" s="1">
        <v>0.0</v>
      </c>
      <c r="H70" s="1">
        <v>0.0</v>
      </c>
      <c r="I70" s="1">
        <v>0.0</v>
      </c>
      <c r="J70" s="1">
        <v>3.92000007629395</v>
      </c>
      <c r="K70" s="1">
        <v>0.0</v>
      </c>
      <c r="L70" s="1">
        <v>0.0</v>
      </c>
      <c r="M70" s="1">
        <v>0.0</v>
      </c>
      <c r="N70" s="1">
        <v>267.0</v>
      </c>
      <c r="O70" s="1">
        <v>858.0</v>
      </c>
      <c r="P70" s="1">
        <v>2783.0</v>
      </c>
    </row>
    <row r="71">
      <c r="A71" s="1">
        <v>2.022484408E9</v>
      </c>
      <c r="B71" s="2">
        <v>42404.0</v>
      </c>
      <c r="C71" s="2" t="str">
        <f t="shared" si="1"/>
        <v>Thursday</v>
      </c>
      <c r="D71" s="1">
        <v>5477.0</v>
      </c>
      <c r="E71" s="1">
        <v>3.83999991416931</v>
      </c>
      <c r="F71" s="1">
        <v>3.83999991416931</v>
      </c>
      <c r="G71" s="1">
        <v>0.0</v>
      </c>
      <c r="H71" s="1">
        <v>0.0</v>
      </c>
      <c r="I71" s="1">
        <v>0.0</v>
      </c>
      <c r="J71" s="1">
        <v>3.83999991416931</v>
      </c>
      <c r="K71" s="1">
        <v>0.0</v>
      </c>
      <c r="L71" s="1">
        <v>0.0</v>
      </c>
      <c r="M71" s="1">
        <v>0.0</v>
      </c>
      <c r="N71" s="1">
        <v>237.0</v>
      </c>
      <c r="O71" s="1">
        <v>1203.0</v>
      </c>
      <c r="P71" s="1">
        <v>2040.0</v>
      </c>
    </row>
    <row r="72">
      <c r="A72" s="1">
        <v>2.022484408E9</v>
      </c>
      <c r="B72" s="2">
        <v>42708.0</v>
      </c>
      <c r="C72" s="2" t="str">
        <f t="shared" si="1"/>
        <v>Sunday</v>
      </c>
      <c r="D72" s="1">
        <v>6717.0</v>
      </c>
      <c r="E72" s="1">
        <v>4.71999979019165</v>
      </c>
      <c r="F72" s="1">
        <v>4.71999979019165</v>
      </c>
      <c r="G72" s="1">
        <v>0.0</v>
      </c>
      <c r="H72" s="1">
        <v>3.23000001907349</v>
      </c>
      <c r="I72" s="1">
        <v>0.219999998807907</v>
      </c>
      <c r="J72" s="1">
        <v>1.26999998092651</v>
      </c>
      <c r="K72" s="1">
        <v>0.0</v>
      </c>
      <c r="L72" s="1">
        <v>41.0</v>
      </c>
      <c r="M72" s="1">
        <v>5.0</v>
      </c>
      <c r="N72" s="1">
        <v>67.0</v>
      </c>
      <c r="O72" s="1">
        <v>551.0</v>
      </c>
      <c r="P72" s="1">
        <v>1140.0</v>
      </c>
    </row>
    <row r="73">
      <c r="A73" s="1">
        <v>2.022484408E9</v>
      </c>
      <c r="B73" s="2">
        <v>42647.0</v>
      </c>
      <c r="C73" s="2" t="str">
        <f t="shared" si="1"/>
        <v>Tuesday</v>
      </c>
      <c r="D73" s="1">
        <v>10005.0</v>
      </c>
      <c r="E73" s="1">
        <v>7.01999998092651</v>
      </c>
      <c r="F73" s="1">
        <v>7.01999998092651</v>
      </c>
      <c r="G73" s="1">
        <v>0.0</v>
      </c>
      <c r="H73" s="1">
        <v>0.0799999982118607</v>
      </c>
      <c r="I73" s="1">
        <v>1.04999995231628</v>
      </c>
      <c r="J73" s="1">
        <v>5.90000009536743</v>
      </c>
      <c r="K73" s="1">
        <v>0.0</v>
      </c>
      <c r="L73" s="1">
        <v>1.0</v>
      </c>
      <c r="M73" s="1">
        <v>23.0</v>
      </c>
      <c r="N73" s="1">
        <v>339.0</v>
      </c>
      <c r="O73" s="1">
        <v>1077.0</v>
      </c>
      <c r="P73" s="1">
        <v>2458.0</v>
      </c>
    </row>
    <row r="74">
      <c r="A74" s="1">
        <v>2.022484408E9</v>
      </c>
      <c r="B74" s="2">
        <v>42678.0</v>
      </c>
      <c r="C74" s="2" t="str">
        <f t="shared" si="1"/>
        <v>Friday</v>
      </c>
      <c r="D74" s="1">
        <v>10106.0</v>
      </c>
      <c r="E74" s="1">
        <v>7.09000015258789</v>
      </c>
      <c r="F74" s="1">
        <v>7.09000015258789</v>
      </c>
      <c r="G74" s="1">
        <v>0.0</v>
      </c>
      <c r="H74" s="1">
        <v>1.21000003814697</v>
      </c>
      <c r="I74" s="1">
        <v>0.560000002384186</v>
      </c>
      <c r="J74" s="1">
        <v>5.32999992370605</v>
      </c>
      <c r="K74" s="1">
        <v>0.0</v>
      </c>
      <c r="L74" s="1">
        <v>41.0</v>
      </c>
      <c r="M74" s="1">
        <v>16.0</v>
      </c>
      <c r="N74" s="1">
        <v>272.0</v>
      </c>
      <c r="O74" s="1">
        <v>1111.0</v>
      </c>
      <c r="P74" s="1">
        <v>2568.0</v>
      </c>
    </row>
    <row r="75">
      <c r="A75" s="1">
        <v>2.022484408E9</v>
      </c>
      <c r="B75" s="2">
        <v>42494.0</v>
      </c>
      <c r="C75" s="2" t="str">
        <f t="shared" si="1"/>
        <v>Wednesday</v>
      </c>
      <c r="D75" s="1">
        <v>10805.0</v>
      </c>
      <c r="E75" s="1">
        <v>7.59000015258789</v>
      </c>
      <c r="F75" s="1">
        <v>7.59000015258789</v>
      </c>
      <c r="G75" s="1">
        <v>0.0</v>
      </c>
      <c r="H75" s="1">
        <v>0.720000028610229</v>
      </c>
      <c r="I75" s="1">
        <v>0.980000019073486</v>
      </c>
      <c r="J75" s="1">
        <v>5.8899998664856</v>
      </c>
      <c r="K75" s="1">
        <v>0.0</v>
      </c>
      <c r="L75" s="1">
        <v>36.0</v>
      </c>
      <c r="M75" s="1">
        <v>37.0</v>
      </c>
      <c r="N75" s="1">
        <v>298.0</v>
      </c>
      <c r="O75" s="1">
        <v>1069.0</v>
      </c>
      <c r="P75" s="1">
        <v>2735.0</v>
      </c>
    </row>
    <row r="76">
      <c r="A76" s="1">
        <v>2.022484408E9</v>
      </c>
      <c r="B76" s="2">
        <v>42433.0</v>
      </c>
      <c r="C76" s="2" t="str">
        <f t="shared" si="1"/>
        <v>Friday</v>
      </c>
      <c r="D76" s="1">
        <v>11144.0</v>
      </c>
      <c r="E76" s="1">
        <v>7.82000017166138</v>
      </c>
      <c r="F76" s="1">
        <v>7.82000017166138</v>
      </c>
      <c r="G76" s="1">
        <v>0.0</v>
      </c>
      <c r="H76" s="1">
        <v>1.78999996185303</v>
      </c>
      <c r="I76" s="1">
        <v>0.889999985694885</v>
      </c>
      <c r="J76" s="1">
        <v>5.1399998664856</v>
      </c>
      <c r="K76" s="1">
        <v>0.0</v>
      </c>
      <c r="L76" s="1">
        <v>25.0</v>
      </c>
      <c r="M76" s="1">
        <v>22.0</v>
      </c>
      <c r="N76" s="1">
        <v>279.0</v>
      </c>
      <c r="O76" s="1">
        <v>1114.0</v>
      </c>
      <c r="P76" s="1">
        <v>2395.0</v>
      </c>
    </row>
    <row r="77">
      <c r="A77" s="1">
        <v>2.022484408E9</v>
      </c>
      <c r="B77" s="2">
        <v>42586.0</v>
      </c>
      <c r="C77" s="2" t="str">
        <f t="shared" si="1"/>
        <v>Thursday</v>
      </c>
      <c r="D77" s="1">
        <v>13023.0</v>
      </c>
      <c r="E77" s="1">
        <v>9.26000022888184</v>
      </c>
      <c r="F77" s="1">
        <v>9.26000022888184</v>
      </c>
      <c r="G77" s="1">
        <v>0.0</v>
      </c>
      <c r="H77" s="1">
        <v>3.23000001907349</v>
      </c>
      <c r="I77" s="1">
        <v>0.560000002384186</v>
      </c>
      <c r="J77" s="1">
        <v>5.46999979019165</v>
      </c>
      <c r="K77" s="1">
        <v>0.0</v>
      </c>
      <c r="L77" s="1">
        <v>40.0</v>
      </c>
      <c r="M77" s="1">
        <v>12.0</v>
      </c>
      <c r="N77" s="1">
        <v>296.0</v>
      </c>
      <c r="O77" s="1">
        <v>1092.0</v>
      </c>
      <c r="P77" s="1">
        <v>2577.0</v>
      </c>
    </row>
    <row r="78">
      <c r="A78" s="1">
        <v>2.022484408E9</v>
      </c>
      <c r="B78" s="2">
        <v>42373.0</v>
      </c>
      <c r="C78" s="2" t="str">
        <f t="shared" si="1"/>
        <v>Monday</v>
      </c>
      <c r="D78" s="1">
        <v>13603.0</v>
      </c>
      <c r="E78" s="1">
        <v>9.60000038146973</v>
      </c>
      <c r="F78" s="1">
        <v>9.60000038146973</v>
      </c>
      <c r="G78" s="1">
        <v>0.0</v>
      </c>
      <c r="H78" s="1">
        <v>5.46000003814697</v>
      </c>
      <c r="I78" s="1">
        <v>0.629999995231628</v>
      </c>
      <c r="J78" s="1">
        <v>3.50999999046326</v>
      </c>
      <c r="K78" s="1">
        <v>0.0</v>
      </c>
      <c r="L78" s="1">
        <v>72.0</v>
      </c>
      <c r="M78" s="1">
        <v>16.0</v>
      </c>
      <c r="N78" s="1">
        <v>213.0</v>
      </c>
      <c r="O78" s="1">
        <v>1139.0</v>
      </c>
      <c r="P78" s="1">
        <v>2645.0</v>
      </c>
    </row>
    <row r="79">
      <c r="A79" s="1">
        <v>2.022484408E9</v>
      </c>
      <c r="B79" s="2">
        <v>42464.0</v>
      </c>
      <c r="C79" s="2" t="str">
        <f t="shared" si="1"/>
        <v>Monday</v>
      </c>
      <c r="D79" s="1">
        <v>15313.0</v>
      </c>
      <c r="E79" s="1">
        <v>11.0</v>
      </c>
      <c r="F79" s="1">
        <v>11.0</v>
      </c>
      <c r="G79" s="1">
        <v>0.0</v>
      </c>
      <c r="H79" s="1">
        <v>5.01999998092651</v>
      </c>
      <c r="I79" s="1">
        <v>1.28999996185303</v>
      </c>
      <c r="J79" s="1">
        <v>4.69000005722046</v>
      </c>
      <c r="K79" s="1">
        <v>0.0</v>
      </c>
      <c r="L79" s="1">
        <v>62.0</v>
      </c>
      <c r="M79" s="1">
        <v>19.0</v>
      </c>
      <c r="N79" s="1">
        <v>233.0</v>
      </c>
      <c r="O79" s="1">
        <v>1126.0</v>
      </c>
      <c r="P79" s="1">
        <v>2581.0</v>
      </c>
    </row>
    <row r="80">
      <c r="A80" s="1">
        <v>2.022484408E9</v>
      </c>
      <c r="B80" s="2">
        <v>42525.0</v>
      </c>
      <c r="C80" s="2" t="str">
        <f t="shared" si="1"/>
        <v>Saturday</v>
      </c>
      <c r="D80" s="1">
        <v>15392.0</v>
      </c>
      <c r="E80" s="1">
        <v>10.9300003051758</v>
      </c>
      <c r="F80" s="1">
        <v>10.9300003051758</v>
      </c>
      <c r="G80" s="1">
        <v>0.0</v>
      </c>
      <c r="H80" s="1">
        <v>3.4300000667572</v>
      </c>
      <c r="I80" s="1">
        <v>1.75</v>
      </c>
      <c r="J80" s="1">
        <v>5.75</v>
      </c>
      <c r="K80" s="1">
        <v>0.0</v>
      </c>
      <c r="L80" s="1">
        <v>47.0</v>
      </c>
      <c r="M80" s="1">
        <v>42.0</v>
      </c>
      <c r="N80" s="1">
        <v>258.0</v>
      </c>
      <c r="O80" s="1">
        <v>1093.0</v>
      </c>
      <c r="P80" s="1">
        <v>2733.0</v>
      </c>
    </row>
    <row r="81">
      <c r="A81" s="1">
        <v>2.022484408E9</v>
      </c>
      <c r="B81" s="2">
        <v>42617.0</v>
      </c>
      <c r="C81" s="2" t="str">
        <f t="shared" si="1"/>
        <v>Sunday</v>
      </c>
      <c r="D81" s="1">
        <v>16267.0</v>
      </c>
      <c r="E81" s="1">
        <v>12.5900001525879</v>
      </c>
      <c r="F81" s="1">
        <v>12.5900001525879</v>
      </c>
      <c r="G81" s="1">
        <v>0.0</v>
      </c>
      <c r="H81" s="1">
        <v>5.75</v>
      </c>
      <c r="I81" s="1">
        <v>0.469999998807907</v>
      </c>
      <c r="J81" s="1">
        <v>6.36999988555908</v>
      </c>
      <c r="K81" s="1">
        <v>0.0</v>
      </c>
      <c r="L81" s="1">
        <v>44.0</v>
      </c>
      <c r="M81" s="1">
        <v>16.0</v>
      </c>
      <c r="N81" s="1">
        <v>302.0</v>
      </c>
      <c r="O81" s="1">
        <v>1078.0</v>
      </c>
      <c r="P81" s="1">
        <v>2811.0</v>
      </c>
    </row>
    <row r="82">
      <c r="A82" s="1">
        <v>2.022484408E9</v>
      </c>
      <c r="B82" s="2">
        <v>42555.0</v>
      </c>
      <c r="C82" s="2" t="str">
        <f t="shared" si="1"/>
        <v>Monday</v>
      </c>
      <c r="D82" s="1">
        <v>18247.0</v>
      </c>
      <c r="E82" s="1">
        <v>13.8299999237061</v>
      </c>
      <c r="F82" s="1">
        <v>13.8299999237061</v>
      </c>
      <c r="G82" s="1">
        <v>0.0</v>
      </c>
      <c r="H82" s="1">
        <v>7.1100001335144</v>
      </c>
      <c r="I82" s="1">
        <v>2.21000003814697</v>
      </c>
      <c r="J82" s="1">
        <v>4.51000022888184</v>
      </c>
      <c r="K82" s="1">
        <v>0.0</v>
      </c>
      <c r="L82" s="1">
        <v>72.0</v>
      </c>
      <c r="M82" s="1">
        <v>62.0</v>
      </c>
      <c r="N82" s="1">
        <v>252.0</v>
      </c>
      <c r="O82" s="1">
        <v>1054.0</v>
      </c>
      <c r="P82" s="1">
        <v>3021.0</v>
      </c>
    </row>
    <row r="83">
      <c r="A83" s="1">
        <v>2.026352035E9</v>
      </c>
      <c r="B83" s="2">
        <v>42708.0</v>
      </c>
      <c r="C83" s="2" t="str">
        <f t="shared" si="1"/>
        <v>Sunday</v>
      </c>
      <c r="D83" s="1">
        <v>1019.0</v>
      </c>
      <c r="E83" s="1">
        <v>0.629999995231628</v>
      </c>
      <c r="F83" s="1">
        <v>0.629999995231628</v>
      </c>
      <c r="G83" s="1">
        <v>0.0</v>
      </c>
      <c r="H83" s="1">
        <v>0.0</v>
      </c>
      <c r="I83" s="1">
        <v>0.0</v>
      </c>
      <c r="J83" s="1">
        <v>0.629999995231628</v>
      </c>
      <c r="K83" s="1">
        <v>0.0</v>
      </c>
      <c r="L83" s="1">
        <v>0.0</v>
      </c>
      <c r="M83" s="1">
        <v>0.0</v>
      </c>
      <c r="N83" s="1">
        <v>64.0</v>
      </c>
      <c r="O83" s="1">
        <v>223.0</v>
      </c>
      <c r="P83" s="1">
        <v>600.0</v>
      </c>
    </row>
    <row r="84">
      <c r="A84" s="1">
        <v>2.026352035E9</v>
      </c>
      <c r="B84" s="2">
        <v>42404.0</v>
      </c>
      <c r="C84" s="2" t="str">
        <f t="shared" si="1"/>
        <v>Thursday</v>
      </c>
      <c r="D84" s="1">
        <v>1229.0</v>
      </c>
      <c r="E84" s="1">
        <v>0.759999990463257</v>
      </c>
      <c r="F84" s="1">
        <v>0.759999990463257</v>
      </c>
      <c r="G84" s="1">
        <v>0.0</v>
      </c>
      <c r="H84" s="1">
        <v>0.0</v>
      </c>
      <c r="I84" s="1">
        <v>0.0</v>
      </c>
      <c r="J84" s="1">
        <v>0.759999990463257</v>
      </c>
      <c r="K84" s="1">
        <v>0.0</v>
      </c>
      <c r="L84" s="1">
        <v>0.0</v>
      </c>
      <c r="M84" s="1">
        <v>0.0</v>
      </c>
      <c r="N84" s="1">
        <v>69.0</v>
      </c>
      <c r="O84" s="1">
        <v>795.0</v>
      </c>
      <c r="P84" s="1">
        <v>1237.0</v>
      </c>
    </row>
    <row r="85">
      <c r="A85" s="1">
        <v>2.026352035E9</v>
      </c>
      <c r="B85" s="2">
        <v>42433.0</v>
      </c>
      <c r="C85" s="2" t="str">
        <f t="shared" si="1"/>
        <v>Friday</v>
      </c>
      <c r="D85" s="1">
        <v>2308.0</v>
      </c>
      <c r="E85" s="1">
        <v>1.42999994754791</v>
      </c>
      <c r="F85" s="1">
        <v>1.42999994754791</v>
      </c>
      <c r="G85" s="1">
        <v>0.0</v>
      </c>
      <c r="H85" s="1">
        <v>0.0</v>
      </c>
      <c r="I85" s="1">
        <v>0.0</v>
      </c>
      <c r="J85" s="1">
        <v>1.42999994754791</v>
      </c>
      <c r="K85" s="1">
        <v>0.0</v>
      </c>
      <c r="L85" s="1">
        <v>0.0</v>
      </c>
      <c r="M85" s="1">
        <v>0.0</v>
      </c>
      <c r="N85" s="1">
        <v>115.0</v>
      </c>
      <c r="O85" s="1">
        <v>720.0</v>
      </c>
      <c r="P85" s="1">
        <v>1330.0</v>
      </c>
    </row>
    <row r="86">
      <c r="A86" s="1">
        <v>2.026352035E9</v>
      </c>
      <c r="B86" s="2">
        <v>42373.0</v>
      </c>
      <c r="C86" s="2" t="str">
        <f t="shared" si="1"/>
        <v>Monday</v>
      </c>
      <c r="D86" s="1">
        <v>2605.0</v>
      </c>
      <c r="E86" s="1">
        <v>1.62000000476837</v>
      </c>
      <c r="F86" s="1">
        <v>1.62000000476837</v>
      </c>
      <c r="G86" s="1">
        <v>0.0</v>
      </c>
      <c r="H86" s="1">
        <v>0.0</v>
      </c>
      <c r="I86" s="1">
        <v>0.0</v>
      </c>
      <c r="J86" s="1">
        <v>1.62000000476837</v>
      </c>
      <c r="K86" s="1">
        <v>0.0</v>
      </c>
      <c r="L86" s="1">
        <v>0.0</v>
      </c>
      <c r="M86" s="1">
        <v>0.0</v>
      </c>
      <c r="N86" s="1">
        <v>166.0</v>
      </c>
      <c r="O86" s="1">
        <v>729.0</v>
      </c>
      <c r="P86" s="1">
        <v>1407.0</v>
      </c>
    </row>
    <row r="87">
      <c r="A87" s="1">
        <v>2.026352035E9</v>
      </c>
      <c r="B87" s="2">
        <v>42555.0</v>
      </c>
      <c r="C87" s="2" t="str">
        <f t="shared" si="1"/>
        <v>Monday</v>
      </c>
      <c r="D87" s="1">
        <v>2767.0</v>
      </c>
      <c r="E87" s="1">
        <v>1.72000002861023</v>
      </c>
      <c r="F87" s="1">
        <v>1.72000002861023</v>
      </c>
      <c r="G87" s="1">
        <v>0.0</v>
      </c>
      <c r="H87" s="1">
        <v>0.0</v>
      </c>
      <c r="I87" s="1">
        <v>0.0</v>
      </c>
      <c r="J87" s="1">
        <v>1.72000002861023</v>
      </c>
      <c r="K87" s="1">
        <v>0.0</v>
      </c>
      <c r="L87" s="1">
        <v>0.0</v>
      </c>
      <c r="M87" s="1">
        <v>0.0</v>
      </c>
      <c r="N87" s="1">
        <v>170.0</v>
      </c>
      <c r="O87" s="1">
        <v>673.0</v>
      </c>
      <c r="P87" s="1">
        <v>1392.0</v>
      </c>
    </row>
    <row r="88">
      <c r="A88" s="1">
        <v>2.026352035E9</v>
      </c>
      <c r="B88" s="2">
        <v>42617.0</v>
      </c>
      <c r="C88" s="2" t="str">
        <f t="shared" si="1"/>
        <v>Sunday</v>
      </c>
      <c r="D88" s="1">
        <v>3098.0</v>
      </c>
      <c r="E88" s="1">
        <v>1.91999995708466</v>
      </c>
      <c r="F88" s="1">
        <v>1.91999995708466</v>
      </c>
      <c r="G88" s="1">
        <v>0.0</v>
      </c>
      <c r="H88" s="1">
        <v>0.0</v>
      </c>
      <c r="I88" s="1">
        <v>0.0</v>
      </c>
      <c r="J88" s="1">
        <v>1.91999995708466</v>
      </c>
      <c r="K88" s="1">
        <v>0.0</v>
      </c>
      <c r="L88" s="1">
        <v>0.0</v>
      </c>
      <c r="M88" s="1">
        <v>0.0</v>
      </c>
      <c r="N88" s="1">
        <v>185.0</v>
      </c>
      <c r="O88" s="1">
        <v>700.0</v>
      </c>
      <c r="P88" s="1">
        <v>1413.0</v>
      </c>
    </row>
    <row r="89">
      <c r="A89" s="1">
        <v>2.026352035E9</v>
      </c>
      <c r="B89" s="2">
        <v>42525.0</v>
      </c>
      <c r="C89" s="2" t="str">
        <f t="shared" si="1"/>
        <v>Saturday</v>
      </c>
      <c r="D89" s="1">
        <v>3180.0</v>
      </c>
      <c r="E89" s="1">
        <v>1.97000002861023</v>
      </c>
      <c r="F89" s="1">
        <v>1.97000002861023</v>
      </c>
      <c r="G89" s="1">
        <v>0.0</v>
      </c>
      <c r="H89" s="1">
        <v>0.0</v>
      </c>
      <c r="I89" s="1">
        <v>0.0</v>
      </c>
      <c r="J89" s="1">
        <v>1.97000002861023</v>
      </c>
      <c r="K89" s="1">
        <v>0.0</v>
      </c>
      <c r="L89" s="1">
        <v>0.0</v>
      </c>
      <c r="M89" s="1">
        <v>0.0</v>
      </c>
      <c r="N89" s="1">
        <v>185.0</v>
      </c>
      <c r="O89" s="1">
        <v>738.0</v>
      </c>
      <c r="P89" s="1">
        <v>1421.0</v>
      </c>
    </row>
    <row r="90">
      <c r="A90" s="1">
        <v>2.026352035E9</v>
      </c>
      <c r="B90" s="2">
        <v>42678.0</v>
      </c>
      <c r="C90" s="2" t="str">
        <f t="shared" si="1"/>
        <v>Friday</v>
      </c>
      <c r="D90" s="1">
        <v>3279.0</v>
      </c>
      <c r="E90" s="1">
        <v>2.02999997138977</v>
      </c>
      <c r="F90" s="1">
        <v>2.02999997138977</v>
      </c>
      <c r="G90" s="1">
        <v>0.0</v>
      </c>
      <c r="H90" s="1">
        <v>0.0</v>
      </c>
      <c r="I90" s="1">
        <v>0.0</v>
      </c>
      <c r="J90" s="1">
        <v>2.02999997138977</v>
      </c>
      <c r="K90" s="1">
        <v>0.0</v>
      </c>
      <c r="L90" s="1">
        <v>0.0</v>
      </c>
      <c r="M90" s="1">
        <v>0.0</v>
      </c>
      <c r="N90" s="1">
        <v>164.0</v>
      </c>
      <c r="O90" s="1">
        <v>694.0</v>
      </c>
      <c r="P90" s="1">
        <v>1405.0</v>
      </c>
    </row>
    <row r="91">
      <c r="A91" s="1">
        <v>2.026352035E9</v>
      </c>
      <c r="B91" s="2">
        <v>42586.0</v>
      </c>
      <c r="C91" s="2" t="str">
        <f t="shared" si="1"/>
        <v>Thursday</v>
      </c>
      <c r="D91" s="1">
        <v>3762.0</v>
      </c>
      <c r="E91" s="1">
        <v>2.32999992370605</v>
      </c>
      <c r="F91" s="1">
        <v>2.32999992370605</v>
      </c>
      <c r="G91" s="1">
        <v>0.0</v>
      </c>
      <c r="H91" s="1">
        <v>0.0</v>
      </c>
      <c r="I91" s="1">
        <v>0.0</v>
      </c>
      <c r="J91" s="1">
        <v>2.32999992370605</v>
      </c>
      <c r="K91" s="1">
        <v>0.0</v>
      </c>
      <c r="L91" s="1">
        <v>0.0</v>
      </c>
      <c r="M91" s="1">
        <v>0.0</v>
      </c>
      <c r="N91" s="1">
        <v>173.0</v>
      </c>
      <c r="O91" s="1">
        <v>719.0</v>
      </c>
      <c r="P91" s="1">
        <v>1425.0</v>
      </c>
    </row>
    <row r="92">
      <c r="A92" s="1">
        <v>2.026352035E9</v>
      </c>
      <c r="B92" s="2">
        <v>42647.0</v>
      </c>
      <c r="C92" s="2" t="str">
        <f t="shared" si="1"/>
        <v>Tuesday</v>
      </c>
      <c r="D92" s="1">
        <v>5142.0</v>
      </c>
      <c r="E92" s="1">
        <v>3.19000005722046</v>
      </c>
      <c r="F92" s="1">
        <v>3.19000005722046</v>
      </c>
      <c r="G92" s="1">
        <v>0.0</v>
      </c>
      <c r="H92" s="1">
        <v>0.0</v>
      </c>
      <c r="I92" s="1">
        <v>0.0</v>
      </c>
      <c r="J92" s="1">
        <v>3.19000005722046</v>
      </c>
      <c r="K92" s="1">
        <v>0.0</v>
      </c>
      <c r="L92" s="1">
        <v>0.0</v>
      </c>
      <c r="M92" s="1">
        <v>0.0</v>
      </c>
      <c r="N92" s="1">
        <v>230.0</v>
      </c>
      <c r="O92" s="1">
        <v>654.0</v>
      </c>
      <c r="P92" s="1">
        <v>1515.0</v>
      </c>
    </row>
    <row r="93">
      <c r="A93" s="1">
        <v>2.026352035E9</v>
      </c>
      <c r="B93" s="2">
        <v>42494.0</v>
      </c>
      <c r="C93" s="2" t="str">
        <f t="shared" si="1"/>
        <v>Wednesday</v>
      </c>
      <c r="D93" s="1">
        <v>5645.0</v>
      </c>
      <c r="E93" s="1">
        <v>3.5</v>
      </c>
      <c r="F93" s="1">
        <v>3.5</v>
      </c>
      <c r="G93" s="1">
        <v>0.0</v>
      </c>
      <c r="H93" s="1">
        <v>0.0</v>
      </c>
      <c r="I93" s="1">
        <v>0.0</v>
      </c>
      <c r="J93" s="1">
        <v>3.5</v>
      </c>
      <c r="K93" s="1">
        <v>0.0</v>
      </c>
      <c r="L93" s="1">
        <v>0.0</v>
      </c>
      <c r="M93" s="1">
        <v>0.0</v>
      </c>
      <c r="N93" s="1">
        <v>248.0</v>
      </c>
      <c r="O93" s="1">
        <v>621.0</v>
      </c>
      <c r="P93" s="1">
        <v>1538.0</v>
      </c>
    </row>
    <row r="94">
      <c r="A94" s="1">
        <v>2.026352035E9</v>
      </c>
      <c r="B94" s="2">
        <v>42464.0</v>
      </c>
      <c r="C94" s="2" t="str">
        <f t="shared" si="1"/>
        <v>Monday</v>
      </c>
      <c r="D94" s="1">
        <v>6679.0</v>
      </c>
      <c r="E94" s="1">
        <v>4.1399998664856</v>
      </c>
      <c r="F94" s="1">
        <v>4.1399998664856</v>
      </c>
      <c r="G94" s="1">
        <v>0.0</v>
      </c>
      <c r="H94" s="1">
        <v>0.0</v>
      </c>
      <c r="I94" s="1">
        <v>0.0</v>
      </c>
      <c r="J94" s="1">
        <v>4.1399998664856</v>
      </c>
      <c r="K94" s="1">
        <v>0.0</v>
      </c>
      <c r="L94" s="1">
        <v>0.0</v>
      </c>
      <c r="M94" s="1">
        <v>0.0</v>
      </c>
      <c r="N94" s="1">
        <v>263.0</v>
      </c>
      <c r="O94" s="1">
        <v>644.0</v>
      </c>
      <c r="P94" s="1">
        <v>1583.0</v>
      </c>
    </row>
    <row r="95">
      <c r="A95" s="1">
        <v>2.320127002E9</v>
      </c>
      <c r="B95" s="2">
        <v>42555.0</v>
      </c>
      <c r="C95" s="2" t="str">
        <f t="shared" si="1"/>
        <v>Monday</v>
      </c>
      <c r="D95" s="1">
        <v>1846.0</v>
      </c>
      <c r="E95" s="1">
        <v>1.24000000953674</v>
      </c>
      <c r="F95" s="1">
        <v>1.24000000953674</v>
      </c>
      <c r="G95" s="1">
        <v>0.0</v>
      </c>
      <c r="H95" s="1">
        <v>0.0</v>
      </c>
      <c r="I95" s="1">
        <v>0.0</v>
      </c>
      <c r="J95" s="1">
        <v>1.24000000953674</v>
      </c>
      <c r="K95" s="1">
        <v>0.0</v>
      </c>
      <c r="L95" s="1">
        <v>0.0</v>
      </c>
      <c r="M95" s="1">
        <v>0.0</v>
      </c>
      <c r="N95" s="1">
        <v>93.0</v>
      </c>
      <c r="O95" s="1">
        <v>1347.0</v>
      </c>
      <c r="P95" s="1">
        <v>1508.0</v>
      </c>
    </row>
    <row r="96">
      <c r="A96" s="1">
        <v>2.320127002E9</v>
      </c>
      <c r="B96" s="2">
        <v>42708.0</v>
      </c>
      <c r="C96" s="2" t="str">
        <f t="shared" si="1"/>
        <v>Sunday</v>
      </c>
      <c r="D96" s="1">
        <v>2098.0</v>
      </c>
      <c r="E96" s="1">
        <v>1.4099999666214</v>
      </c>
      <c r="F96" s="1">
        <v>1.4099999666214</v>
      </c>
      <c r="G96" s="1">
        <v>0.0</v>
      </c>
      <c r="H96" s="1">
        <v>0.0</v>
      </c>
      <c r="I96" s="1">
        <v>0.0</v>
      </c>
      <c r="J96" s="1">
        <v>1.4099999666214</v>
      </c>
      <c r="K96" s="1">
        <v>0.0</v>
      </c>
      <c r="L96" s="1">
        <v>0.0</v>
      </c>
      <c r="M96" s="1">
        <v>0.0</v>
      </c>
      <c r="N96" s="1">
        <v>69.0</v>
      </c>
      <c r="O96" s="1">
        <v>617.0</v>
      </c>
      <c r="P96" s="1">
        <v>790.0</v>
      </c>
    </row>
    <row r="97">
      <c r="A97" s="1">
        <v>2.320127002E9</v>
      </c>
      <c r="B97" s="2">
        <v>42647.0</v>
      </c>
      <c r="C97" s="2" t="str">
        <f t="shared" si="1"/>
        <v>Tuesday</v>
      </c>
      <c r="D97" s="1">
        <v>2277.0</v>
      </c>
      <c r="E97" s="1">
        <v>1.52999997138977</v>
      </c>
      <c r="F97" s="1">
        <v>1.52999997138977</v>
      </c>
      <c r="G97" s="1">
        <v>0.0</v>
      </c>
      <c r="H97" s="1">
        <v>0.0</v>
      </c>
      <c r="I97" s="1">
        <v>0.0</v>
      </c>
      <c r="J97" s="1">
        <v>1.52999997138977</v>
      </c>
      <c r="K97" s="1">
        <v>0.0</v>
      </c>
      <c r="L97" s="1">
        <v>0.0</v>
      </c>
      <c r="M97" s="1">
        <v>0.0</v>
      </c>
      <c r="N97" s="1">
        <v>103.0</v>
      </c>
      <c r="O97" s="1">
        <v>1337.0</v>
      </c>
      <c r="P97" s="1">
        <v>1530.0</v>
      </c>
    </row>
    <row r="98">
      <c r="A98" s="1">
        <v>2.320127002E9</v>
      </c>
      <c r="B98" s="2">
        <v>42586.0</v>
      </c>
      <c r="C98" s="2" t="str">
        <f t="shared" si="1"/>
        <v>Thursday</v>
      </c>
      <c r="D98" s="1">
        <v>3417.0</v>
      </c>
      <c r="E98" s="1">
        <v>2.29999995231628</v>
      </c>
      <c r="F98" s="1">
        <v>2.29999995231628</v>
      </c>
      <c r="G98" s="1">
        <v>0.0</v>
      </c>
      <c r="H98" s="1">
        <v>0.0</v>
      </c>
      <c r="I98" s="1">
        <v>0.0</v>
      </c>
      <c r="J98" s="1">
        <v>2.29999995231628</v>
      </c>
      <c r="K98" s="1">
        <v>0.0</v>
      </c>
      <c r="L98" s="1">
        <v>0.0</v>
      </c>
      <c r="M98" s="1">
        <v>0.0</v>
      </c>
      <c r="N98" s="1">
        <v>153.0</v>
      </c>
      <c r="O98" s="1">
        <v>1287.0</v>
      </c>
      <c r="P98" s="1">
        <v>1625.0</v>
      </c>
    </row>
    <row r="99">
      <c r="A99" s="1">
        <v>2.320127002E9</v>
      </c>
      <c r="B99" s="2">
        <v>42617.0</v>
      </c>
      <c r="C99" s="2" t="str">
        <f t="shared" si="1"/>
        <v>Sunday</v>
      </c>
      <c r="D99" s="1">
        <v>4863.0</v>
      </c>
      <c r="E99" s="1">
        <v>3.27999997138977</v>
      </c>
      <c r="F99" s="1">
        <v>3.27999997138977</v>
      </c>
      <c r="G99" s="1">
        <v>0.0</v>
      </c>
      <c r="H99" s="1">
        <v>0.0599999986588955</v>
      </c>
      <c r="I99" s="1">
        <v>0.419999986886978</v>
      </c>
      <c r="J99" s="1">
        <v>2.79999995231628</v>
      </c>
      <c r="K99" s="1">
        <v>0.0</v>
      </c>
      <c r="L99" s="1">
        <v>1.0</v>
      </c>
      <c r="M99" s="1">
        <v>11.0</v>
      </c>
      <c r="N99" s="1">
        <v>208.0</v>
      </c>
      <c r="O99" s="1">
        <v>1220.0</v>
      </c>
      <c r="P99" s="1">
        <v>1772.0</v>
      </c>
    </row>
    <row r="100">
      <c r="A100" s="1">
        <v>2.320127002E9</v>
      </c>
      <c r="B100" s="2">
        <v>42494.0</v>
      </c>
      <c r="C100" s="2" t="str">
        <f t="shared" si="1"/>
        <v>Wednesday</v>
      </c>
      <c r="D100" s="1">
        <v>4931.0</v>
      </c>
      <c r="E100" s="1">
        <v>3.3199999332428</v>
      </c>
      <c r="F100" s="1">
        <v>3.3199999332428</v>
      </c>
      <c r="G100" s="1">
        <v>0.0</v>
      </c>
      <c r="H100" s="1">
        <v>0.0</v>
      </c>
      <c r="I100" s="1">
        <v>0.0</v>
      </c>
      <c r="J100" s="1">
        <v>3.3199999332428</v>
      </c>
      <c r="K100" s="1">
        <v>0.0</v>
      </c>
      <c r="L100" s="1">
        <v>0.0</v>
      </c>
      <c r="M100" s="1">
        <v>0.0</v>
      </c>
      <c r="N100" s="1">
        <v>175.0</v>
      </c>
      <c r="O100" s="1">
        <v>1265.0</v>
      </c>
      <c r="P100" s="1">
        <v>1708.0</v>
      </c>
    </row>
    <row r="101">
      <c r="A101" s="1">
        <v>2.320127002E9</v>
      </c>
      <c r="B101" s="2">
        <v>42525.0</v>
      </c>
      <c r="C101" s="2" t="str">
        <f t="shared" si="1"/>
        <v>Saturday</v>
      </c>
      <c r="D101" s="1">
        <v>6999.0</v>
      </c>
      <c r="E101" s="1">
        <v>4.71999979019165</v>
      </c>
      <c r="F101" s="1">
        <v>4.71999979019165</v>
      </c>
      <c r="G101" s="1">
        <v>0.0</v>
      </c>
      <c r="H101" s="1">
        <v>0.0</v>
      </c>
      <c r="I101" s="1">
        <v>0.0</v>
      </c>
      <c r="J101" s="1">
        <v>4.71999979019165</v>
      </c>
      <c r="K101" s="1">
        <v>0.0</v>
      </c>
      <c r="L101" s="1">
        <v>0.0</v>
      </c>
      <c r="M101" s="1">
        <v>0.0</v>
      </c>
      <c r="N101" s="1">
        <v>320.0</v>
      </c>
      <c r="O101" s="1">
        <v>1120.0</v>
      </c>
      <c r="P101" s="1">
        <v>1950.0</v>
      </c>
    </row>
    <row r="102">
      <c r="A102" s="1">
        <v>2.320127002E9</v>
      </c>
      <c r="B102" s="2">
        <v>42678.0</v>
      </c>
      <c r="C102" s="2" t="str">
        <f t="shared" si="1"/>
        <v>Friday</v>
      </c>
      <c r="D102" s="1">
        <v>11230.0</v>
      </c>
      <c r="E102" s="1">
        <v>7.67000007629395</v>
      </c>
      <c r="F102" s="1">
        <v>7.67000007629395</v>
      </c>
      <c r="G102" s="1">
        <v>0.0</v>
      </c>
      <c r="H102" s="1">
        <v>0.889999985694885</v>
      </c>
      <c r="I102" s="1">
        <v>0.119999997317791</v>
      </c>
      <c r="J102" s="1">
        <v>6.65999984741211</v>
      </c>
      <c r="K102" s="1">
        <v>0.0</v>
      </c>
      <c r="L102" s="1">
        <v>10.0</v>
      </c>
      <c r="M102" s="1">
        <v>2.0</v>
      </c>
      <c r="N102" s="1">
        <v>390.0</v>
      </c>
      <c r="O102" s="1">
        <v>1038.0</v>
      </c>
      <c r="P102" s="1">
        <v>2206.0</v>
      </c>
    </row>
    <row r="103">
      <c r="A103" s="1">
        <v>2.347167796E9</v>
      </c>
      <c r="B103" s="2" t="s">
        <v>20</v>
      </c>
      <c r="C103" s="2" t="str">
        <f t="shared" si="1"/>
        <v>Thursday</v>
      </c>
      <c r="D103" s="1">
        <v>6760.0</v>
      </c>
      <c r="E103" s="1">
        <v>4.46999979019165</v>
      </c>
      <c r="F103" s="1">
        <v>4.46999979019165</v>
      </c>
      <c r="G103" s="1">
        <v>0.0</v>
      </c>
      <c r="H103" s="1">
        <v>0.0</v>
      </c>
      <c r="I103" s="1">
        <v>0.0</v>
      </c>
      <c r="J103" s="1">
        <v>4.46999979019165</v>
      </c>
      <c r="K103" s="1">
        <v>0.0</v>
      </c>
      <c r="L103" s="1">
        <v>0.0</v>
      </c>
      <c r="M103" s="1">
        <v>0.0</v>
      </c>
      <c r="N103" s="1">
        <v>250.0</v>
      </c>
      <c r="O103" s="1">
        <v>613.0</v>
      </c>
      <c r="P103" s="1">
        <v>1929.0</v>
      </c>
    </row>
    <row r="104">
      <c r="A104" s="1">
        <v>2.347167796E9</v>
      </c>
      <c r="B104" s="2">
        <v>42433.0</v>
      </c>
      <c r="C104" s="2" t="str">
        <f t="shared" si="1"/>
        <v>Friday</v>
      </c>
      <c r="D104" s="1">
        <v>7485.0</v>
      </c>
      <c r="E104" s="1">
        <v>4.94999980926514</v>
      </c>
      <c r="F104" s="1">
        <v>4.94999980926514</v>
      </c>
      <c r="G104" s="1">
        <v>0.0</v>
      </c>
      <c r="H104" s="1">
        <v>0.0</v>
      </c>
      <c r="I104" s="1">
        <v>0.0</v>
      </c>
      <c r="J104" s="1">
        <v>4.94999980926514</v>
      </c>
      <c r="K104" s="1">
        <v>0.0</v>
      </c>
      <c r="L104" s="1">
        <v>0.0</v>
      </c>
      <c r="M104" s="1">
        <v>0.0</v>
      </c>
      <c r="N104" s="1">
        <v>324.0</v>
      </c>
      <c r="O104" s="1">
        <v>491.0</v>
      </c>
      <c r="P104" s="1">
        <v>2035.0</v>
      </c>
    </row>
    <row r="105">
      <c r="A105" s="1">
        <v>2.347167796E9</v>
      </c>
      <c r="B105" s="2">
        <v>42373.0</v>
      </c>
      <c r="C105" s="2" t="str">
        <f t="shared" si="1"/>
        <v>Monday</v>
      </c>
      <c r="D105" s="1">
        <v>8328.0</v>
      </c>
      <c r="E105" s="1">
        <v>5.51000022888184</v>
      </c>
      <c r="F105" s="1">
        <v>5.51000022888184</v>
      </c>
      <c r="G105" s="1">
        <v>0.0</v>
      </c>
      <c r="H105" s="1">
        <v>0.0</v>
      </c>
      <c r="I105" s="1">
        <v>2.0</v>
      </c>
      <c r="J105" s="1">
        <v>3.5</v>
      </c>
      <c r="K105" s="1">
        <v>0.0</v>
      </c>
      <c r="L105" s="1">
        <v>0.0</v>
      </c>
      <c r="M105" s="1">
        <v>33.0</v>
      </c>
      <c r="N105" s="1">
        <v>212.0</v>
      </c>
      <c r="O105" s="1">
        <v>804.0</v>
      </c>
      <c r="P105" s="1">
        <v>1935.0</v>
      </c>
    </row>
    <row r="106">
      <c r="A106" s="1">
        <v>2.347167796E9</v>
      </c>
      <c r="B106" s="2">
        <v>42678.0</v>
      </c>
      <c r="C106" s="2" t="str">
        <f t="shared" si="1"/>
        <v>Friday</v>
      </c>
      <c r="D106" s="1">
        <v>10001.0</v>
      </c>
      <c r="E106" s="1">
        <v>6.6100001335144</v>
      </c>
      <c r="F106" s="1">
        <v>6.6100001335144</v>
      </c>
      <c r="G106" s="1">
        <v>0.0</v>
      </c>
      <c r="H106" s="1">
        <v>0.330000013113022</v>
      </c>
      <c r="I106" s="1">
        <v>2.9300000667572</v>
      </c>
      <c r="J106" s="1">
        <v>3.35999989509583</v>
      </c>
      <c r="K106" s="1">
        <v>0.0</v>
      </c>
      <c r="L106" s="1">
        <v>5.0</v>
      </c>
      <c r="M106" s="1">
        <v>52.0</v>
      </c>
      <c r="N106" s="1">
        <v>196.0</v>
      </c>
      <c r="O106" s="1">
        <v>788.0</v>
      </c>
      <c r="P106" s="1">
        <v>2009.0</v>
      </c>
    </row>
    <row r="107">
      <c r="A107" s="1">
        <v>2.347167796E9</v>
      </c>
      <c r="B107" s="2">
        <v>42647.0</v>
      </c>
      <c r="C107" s="2" t="str">
        <f t="shared" si="1"/>
        <v>Tuesday</v>
      </c>
      <c r="D107" s="1">
        <v>10078.0</v>
      </c>
      <c r="E107" s="1">
        <v>6.82999992370605</v>
      </c>
      <c r="F107" s="1">
        <v>6.82999992370605</v>
      </c>
      <c r="G107" s="1">
        <v>0.0</v>
      </c>
      <c r="H107" s="1">
        <v>1.01999998092651</v>
      </c>
      <c r="I107" s="1">
        <v>0.119999997317791</v>
      </c>
      <c r="J107" s="1">
        <v>5.69000005722046</v>
      </c>
      <c r="K107" s="1">
        <v>0.0</v>
      </c>
      <c r="L107" s="1">
        <v>12.0</v>
      </c>
      <c r="M107" s="1">
        <v>3.0</v>
      </c>
      <c r="N107" s="1">
        <v>303.0</v>
      </c>
      <c r="O107" s="1">
        <v>463.0</v>
      </c>
      <c r="P107" s="1">
        <v>2164.0</v>
      </c>
    </row>
    <row r="108">
      <c r="A108" s="1">
        <v>2.347167796E9</v>
      </c>
      <c r="B108" s="2">
        <v>42494.0</v>
      </c>
      <c r="C108" s="2" t="str">
        <f t="shared" si="1"/>
        <v>Wednesday</v>
      </c>
      <c r="D108" s="1">
        <v>10114.0</v>
      </c>
      <c r="E108" s="1">
        <v>6.82000017166138</v>
      </c>
      <c r="F108" s="1">
        <v>6.82000017166138</v>
      </c>
      <c r="G108" s="1">
        <v>0.0</v>
      </c>
      <c r="H108" s="1">
        <v>1.63999998569489</v>
      </c>
      <c r="I108" s="1">
        <v>0.479999989271164</v>
      </c>
      <c r="J108" s="1">
        <v>4.67999982833862</v>
      </c>
      <c r="K108" s="1">
        <v>0.0</v>
      </c>
      <c r="L108" s="1">
        <v>18.0</v>
      </c>
      <c r="M108" s="1">
        <v>9.0</v>
      </c>
      <c r="N108" s="1">
        <v>269.0</v>
      </c>
      <c r="O108" s="1">
        <v>696.0</v>
      </c>
      <c r="P108" s="1">
        <v>2096.0</v>
      </c>
    </row>
    <row r="109">
      <c r="A109" s="1">
        <v>2.347167796E9</v>
      </c>
      <c r="B109" s="2">
        <v>42586.0</v>
      </c>
      <c r="C109" s="2" t="str">
        <f t="shared" si="1"/>
        <v>Thursday</v>
      </c>
      <c r="D109" s="1">
        <v>10209.0</v>
      </c>
      <c r="E109" s="1">
        <v>6.75</v>
      </c>
      <c r="F109" s="1">
        <v>6.75</v>
      </c>
      <c r="G109" s="1">
        <v>0.0</v>
      </c>
      <c r="H109" s="1">
        <v>0.159999996423721</v>
      </c>
      <c r="I109" s="1">
        <v>0.349999994039536</v>
      </c>
      <c r="J109" s="1">
        <v>6.23000001907349</v>
      </c>
      <c r="K109" s="1">
        <v>0.0</v>
      </c>
      <c r="L109" s="1">
        <v>2.0</v>
      </c>
      <c r="M109" s="1">
        <v>6.0</v>
      </c>
      <c r="N109" s="1">
        <v>316.0</v>
      </c>
      <c r="O109" s="1">
        <v>711.0</v>
      </c>
      <c r="P109" s="1">
        <v>2104.0</v>
      </c>
    </row>
    <row r="110">
      <c r="A110" s="1">
        <v>2.347167796E9</v>
      </c>
      <c r="B110" s="2">
        <v>42464.0</v>
      </c>
      <c r="C110" s="2" t="str">
        <f t="shared" si="1"/>
        <v>Monday</v>
      </c>
      <c r="D110" s="1">
        <v>10254.0</v>
      </c>
      <c r="E110" s="1">
        <v>6.80000019073486</v>
      </c>
      <c r="F110" s="1">
        <v>6.80000019073486</v>
      </c>
      <c r="G110" s="1">
        <v>0.0</v>
      </c>
      <c r="H110" s="1">
        <v>1.41999995708466</v>
      </c>
      <c r="I110" s="1">
        <v>1.23000001907349</v>
      </c>
      <c r="J110" s="1">
        <v>4.15999984741211</v>
      </c>
      <c r="K110" s="1">
        <v>0.0</v>
      </c>
      <c r="L110" s="1">
        <v>21.0</v>
      </c>
      <c r="M110" s="1">
        <v>25.0</v>
      </c>
      <c r="N110" s="1">
        <v>231.0</v>
      </c>
      <c r="O110" s="1">
        <v>638.0</v>
      </c>
      <c r="P110" s="1">
        <v>2099.0</v>
      </c>
    </row>
    <row r="111">
      <c r="A111" s="1">
        <v>2.347167796E9</v>
      </c>
      <c r="B111" s="2" t="s">
        <v>19</v>
      </c>
      <c r="C111" s="2" t="str">
        <f t="shared" si="1"/>
        <v>Tuesday</v>
      </c>
      <c r="D111" s="1">
        <v>10272.0</v>
      </c>
      <c r="E111" s="1">
        <v>6.78999996185303</v>
      </c>
      <c r="F111" s="1">
        <v>6.78999996185303</v>
      </c>
      <c r="G111" s="1">
        <v>0.0</v>
      </c>
      <c r="H111" s="1">
        <v>0.159999996423721</v>
      </c>
      <c r="I111" s="1">
        <v>3.11999988555908</v>
      </c>
      <c r="J111" s="1">
        <v>3.5</v>
      </c>
      <c r="K111" s="1">
        <v>0.0</v>
      </c>
      <c r="L111" s="1">
        <v>2.0</v>
      </c>
      <c r="M111" s="1">
        <v>58.0</v>
      </c>
      <c r="N111" s="1">
        <v>208.0</v>
      </c>
      <c r="O111" s="1">
        <v>700.0</v>
      </c>
      <c r="P111" s="1">
        <v>2041.0</v>
      </c>
    </row>
    <row r="112">
      <c r="A112" s="1">
        <v>2.347167796E9</v>
      </c>
      <c r="B112" s="2">
        <v>42555.0</v>
      </c>
      <c r="C112" s="2" t="str">
        <f t="shared" si="1"/>
        <v>Monday</v>
      </c>
      <c r="D112" s="1">
        <v>10320.0</v>
      </c>
      <c r="E112" s="1">
        <v>6.84999990463257</v>
      </c>
      <c r="F112" s="1">
        <v>6.84999990463257</v>
      </c>
      <c r="G112" s="1">
        <v>0.0</v>
      </c>
      <c r="H112" s="1">
        <v>0.680000007152557</v>
      </c>
      <c r="I112" s="1">
        <v>1.23000001907349</v>
      </c>
      <c r="J112" s="1">
        <v>4.94000005722046</v>
      </c>
      <c r="K112" s="1">
        <v>0.0</v>
      </c>
      <c r="L112" s="1">
        <v>15.0</v>
      </c>
      <c r="M112" s="1">
        <v>32.0</v>
      </c>
      <c r="N112" s="1">
        <v>315.0</v>
      </c>
      <c r="O112" s="1">
        <v>1002.0</v>
      </c>
      <c r="P112" s="1">
        <v>2338.0</v>
      </c>
    </row>
    <row r="113">
      <c r="A113" s="1">
        <v>2.347167796E9</v>
      </c>
      <c r="B113" s="2" t="s">
        <v>17</v>
      </c>
      <c r="C113" s="2" t="str">
        <f t="shared" si="1"/>
        <v>Wednesday</v>
      </c>
      <c r="D113" s="1">
        <v>10533.0</v>
      </c>
      <c r="E113" s="1">
        <v>7.09999990463257</v>
      </c>
      <c r="F113" s="1">
        <v>7.09999990463257</v>
      </c>
      <c r="G113" s="1">
        <v>0.0</v>
      </c>
      <c r="H113" s="1">
        <v>1.76999998092651</v>
      </c>
      <c r="I113" s="1">
        <v>2.05999994277954</v>
      </c>
      <c r="J113" s="1">
        <v>3.26999998092651</v>
      </c>
      <c r="K113" s="1">
        <v>0.0</v>
      </c>
      <c r="L113" s="1">
        <v>21.0</v>
      </c>
      <c r="M113" s="1">
        <v>35.0</v>
      </c>
      <c r="N113" s="1">
        <v>255.0</v>
      </c>
      <c r="O113" s="1">
        <v>615.0</v>
      </c>
      <c r="P113" s="1">
        <v>2187.0</v>
      </c>
    </row>
    <row r="114">
      <c r="A114" s="1">
        <v>2.347167796E9</v>
      </c>
      <c r="B114" s="2">
        <v>42525.0</v>
      </c>
      <c r="C114" s="2" t="str">
        <f t="shared" si="1"/>
        <v>Saturday</v>
      </c>
      <c r="D114" s="1">
        <v>11107.0</v>
      </c>
      <c r="E114" s="1">
        <v>7.34000015258789</v>
      </c>
      <c r="F114" s="1">
        <v>7.34000015258789</v>
      </c>
      <c r="G114" s="1">
        <v>0.0</v>
      </c>
      <c r="H114" s="1">
        <v>0.899999976158142</v>
      </c>
      <c r="I114" s="1">
        <v>2.75999999046326</v>
      </c>
      <c r="J114" s="1">
        <v>3.6800000667572</v>
      </c>
      <c r="K114" s="1">
        <v>0.0</v>
      </c>
      <c r="L114" s="1">
        <v>14.0</v>
      </c>
      <c r="M114" s="1">
        <v>46.0</v>
      </c>
      <c r="N114" s="1">
        <v>196.0</v>
      </c>
      <c r="O114" s="1">
        <v>759.0</v>
      </c>
      <c r="P114" s="1">
        <v>2058.0</v>
      </c>
    </row>
    <row r="115">
      <c r="A115" s="1">
        <v>2.347167796E9</v>
      </c>
      <c r="B115" s="2">
        <v>42404.0</v>
      </c>
      <c r="C115" s="2" t="str">
        <f t="shared" si="1"/>
        <v>Thursday</v>
      </c>
      <c r="D115" s="1">
        <v>15459.0</v>
      </c>
      <c r="E115" s="1">
        <v>10.2200002670288</v>
      </c>
      <c r="F115" s="1">
        <v>10.2200002670288</v>
      </c>
      <c r="G115" s="1">
        <v>0.0</v>
      </c>
      <c r="H115" s="1">
        <v>3.58999991416931</v>
      </c>
      <c r="I115" s="1">
        <v>0.810000002384186</v>
      </c>
      <c r="J115" s="1">
        <v>5.82000017166138</v>
      </c>
      <c r="K115" s="1">
        <v>0.0</v>
      </c>
      <c r="L115" s="1">
        <v>51.0</v>
      </c>
      <c r="M115" s="1">
        <v>16.0</v>
      </c>
      <c r="N115" s="1">
        <v>327.0</v>
      </c>
      <c r="O115" s="1">
        <v>583.0</v>
      </c>
      <c r="P115" s="1">
        <v>2438.0</v>
      </c>
    </row>
    <row r="116">
      <c r="A116" s="1">
        <v>2.347167796E9</v>
      </c>
      <c r="B116" s="2">
        <v>42617.0</v>
      </c>
      <c r="C116" s="2" t="str">
        <f t="shared" si="1"/>
        <v>Sunday</v>
      </c>
      <c r="D116" s="1">
        <v>16081.0</v>
      </c>
      <c r="E116" s="1">
        <v>10.6300001144409</v>
      </c>
      <c r="F116" s="1">
        <v>10.6300001144409</v>
      </c>
      <c r="G116" s="1">
        <v>0.0</v>
      </c>
      <c r="H116" s="1">
        <v>1.25</v>
      </c>
      <c r="I116" s="1">
        <v>1.82000005245209</v>
      </c>
      <c r="J116" s="1">
        <v>7.55999994277954</v>
      </c>
      <c r="K116" s="1">
        <v>0.0</v>
      </c>
      <c r="L116" s="1">
        <v>16.0</v>
      </c>
      <c r="M116" s="1">
        <v>32.0</v>
      </c>
      <c r="N116" s="1">
        <v>401.0</v>
      </c>
      <c r="O116" s="1">
        <v>970.0</v>
      </c>
      <c r="P116" s="1">
        <v>2488.0</v>
      </c>
    </row>
    <row r="117">
      <c r="A117" s="1">
        <v>2.873212765E9</v>
      </c>
      <c r="B117" s="2">
        <v>42373.0</v>
      </c>
      <c r="C117" s="2" t="str">
        <f t="shared" si="1"/>
        <v>Monday</v>
      </c>
      <c r="D117" s="1">
        <v>890.0</v>
      </c>
      <c r="E117" s="1">
        <v>0.600000023841858</v>
      </c>
      <c r="F117" s="1">
        <v>0.600000023841858</v>
      </c>
      <c r="G117" s="1">
        <v>0.0</v>
      </c>
      <c r="H117" s="1">
        <v>0.0</v>
      </c>
      <c r="I117" s="1">
        <v>0.0</v>
      </c>
      <c r="J117" s="1">
        <v>0.600000023841858</v>
      </c>
      <c r="K117" s="1">
        <v>0.0</v>
      </c>
      <c r="L117" s="1">
        <v>0.0</v>
      </c>
      <c r="M117" s="1">
        <v>0.0</v>
      </c>
      <c r="N117" s="1">
        <v>41.0</v>
      </c>
      <c r="O117" s="1">
        <v>1399.0</v>
      </c>
      <c r="P117" s="1">
        <v>1335.0</v>
      </c>
    </row>
    <row r="118">
      <c r="A118" s="1">
        <v>2.873212765E9</v>
      </c>
      <c r="B118" s="2">
        <v>42404.0</v>
      </c>
      <c r="C118" s="2" t="str">
        <f t="shared" si="1"/>
        <v>Thursday</v>
      </c>
      <c r="D118" s="1">
        <v>2214.0</v>
      </c>
      <c r="E118" s="1">
        <v>1.49000000953674</v>
      </c>
      <c r="F118" s="1">
        <v>1.49000000953674</v>
      </c>
      <c r="G118" s="1">
        <v>0.0</v>
      </c>
      <c r="H118" s="1">
        <v>0.0</v>
      </c>
      <c r="I118" s="1">
        <v>0.0</v>
      </c>
      <c r="J118" s="1">
        <v>1.49000000953674</v>
      </c>
      <c r="K118" s="1">
        <v>0.0</v>
      </c>
      <c r="L118" s="1">
        <v>0.0</v>
      </c>
      <c r="M118" s="1">
        <v>0.0</v>
      </c>
      <c r="N118" s="1">
        <v>197.0</v>
      </c>
      <c r="O118" s="1">
        <v>1243.0</v>
      </c>
      <c r="P118" s="1">
        <v>1559.0</v>
      </c>
    </row>
    <row r="119">
      <c r="A119" s="1">
        <v>2.873212765E9</v>
      </c>
      <c r="B119" s="2">
        <v>42647.0</v>
      </c>
      <c r="C119" s="2" t="str">
        <f t="shared" si="1"/>
        <v>Tuesday</v>
      </c>
      <c r="D119" s="1">
        <v>5290.0</v>
      </c>
      <c r="E119" s="1">
        <v>3.54999995231628</v>
      </c>
      <c r="F119" s="1">
        <v>3.54999995231628</v>
      </c>
      <c r="G119" s="1">
        <v>0.0</v>
      </c>
      <c r="H119" s="1">
        <v>0.0399999991059303</v>
      </c>
      <c r="I119" s="1">
        <v>0.340000003576279</v>
      </c>
      <c r="J119" s="1">
        <v>3.17000007629395</v>
      </c>
      <c r="K119" s="1">
        <v>0.0</v>
      </c>
      <c r="L119" s="1">
        <v>1.0</v>
      </c>
      <c r="M119" s="1">
        <v>8.0</v>
      </c>
      <c r="N119" s="1">
        <v>251.0</v>
      </c>
      <c r="O119" s="1">
        <v>1180.0</v>
      </c>
      <c r="P119" s="1">
        <v>1724.0</v>
      </c>
    </row>
    <row r="120">
      <c r="A120" s="1">
        <v>2.873212765E9</v>
      </c>
      <c r="B120" s="2">
        <v>42586.0</v>
      </c>
      <c r="C120" s="2" t="str">
        <f t="shared" si="1"/>
        <v>Thursday</v>
      </c>
      <c r="D120" s="1">
        <v>7157.0</v>
      </c>
      <c r="E120" s="1">
        <v>4.80999994277954</v>
      </c>
      <c r="F120" s="1">
        <v>4.80999994277954</v>
      </c>
      <c r="G120" s="1">
        <v>0.0</v>
      </c>
      <c r="H120" s="1">
        <v>0.0</v>
      </c>
      <c r="I120" s="1">
        <v>0.0</v>
      </c>
      <c r="J120" s="1">
        <v>4.80999994277954</v>
      </c>
      <c r="K120" s="1">
        <v>0.0</v>
      </c>
      <c r="L120" s="1">
        <v>0.0</v>
      </c>
      <c r="M120" s="1">
        <v>0.0</v>
      </c>
      <c r="N120" s="1">
        <v>380.0</v>
      </c>
      <c r="O120" s="1">
        <v>1060.0</v>
      </c>
      <c r="P120" s="1">
        <v>1944.0</v>
      </c>
    </row>
    <row r="121">
      <c r="A121" s="1">
        <v>2.873212765E9</v>
      </c>
      <c r="B121" s="2">
        <v>42525.0</v>
      </c>
      <c r="C121" s="2" t="str">
        <f t="shared" si="1"/>
        <v>Saturday</v>
      </c>
      <c r="D121" s="1">
        <v>7350.0</v>
      </c>
      <c r="E121" s="1">
        <v>4.94000005722046</v>
      </c>
      <c r="F121" s="1">
        <v>4.94000005722046</v>
      </c>
      <c r="G121" s="1">
        <v>0.0</v>
      </c>
      <c r="H121" s="1">
        <v>0.0</v>
      </c>
      <c r="I121" s="1">
        <v>0.0</v>
      </c>
      <c r="J121" s="1">
        <v>4.94000005722046</v>
      </c>
      <c r="K121" s="1">
        <v>0.0</v>
      </c>
      <c r="L121" s="1">
        <v>0.0</v>
      </c>
      <c r="M121" s="1">
        <v>0.0</v>
      </c>
      <c r="N121" s="1">
        <v>382.0</v>
      </c>
      <c r="O121" s="1">
        <v>1058.0</v>
      </c>
      <c r="P121" s="1">
        <v>1910.0</v>
      </c>
    </row>
    <row r="122">
      <c r="A122" s="1">
        <v>2.873212765E9</v>
      </c>
      <c r="B122" s="2">
        <v>42678.0</v>
      </c>
      <c r="C122" s="2" t="str">
        <f t="shared" si="1"/>
        <v>Friday</v>
      </c>
      <c r="D122" s="1">
        <v>7497.0</v>
      </c>
      <c r="E122" s="1">
        <v>5.03999996185303</v>
      </c>
      <c r="F122" s="1">
        <v>5.03999996185303</v>
      </c>
      <c r="G122" s="1">
        <v>0.0</v>
      </c>
      <c r="H122" s="1">
        <v>0.0</v>
      </c>
      <c r="I122" s="1">
        <v>0.0</v>
      </c>
      <c r="J122" s="1">
        <v>5.03999996185303</v>
      </c>
      <c r="K122" s="1">
        <v>0.0</v>
      </c>
      <c r="L122" s="1">
        <v>0.0</v>
      </c>
      <c r="M122" s="1">
        <v>0.0</v>
      </c>
      <c r="N122" s="1">
        <v>357.0</v>
      </c>
      <c r="O122" s="1">
        <v>882.0</v>
      </c>
      <c r="P122" s="1">
        <v>1741.0</v>
      </c>
    </row>
    <row r="123">
      <c r="A123" s="1">
        <v>2.873212765E9</v>
      </c>
      <c r="B123" s="2">
        <v>42433.0</v>
      </c>
      <c r="C123" s="2" t="str">
        <f t="shared" si="1"/>
        <v>Friday</v>
      </c>
      <c r="D123" s="1">
        <v>7640.0</v>
      </c>
      <c r="E123" s="1">
        <v>5.13000011444092</v>
      </c>
      <c r="F123" s="1">
        <v>5.13000011444092</v>
      </c>
      <c r="G123" s="1">
        <v>0.0</v>
      </c>
      <c r="H123" s="1">
        <v>0.189999997615814</v>
      </c>
      <c r="I123" s="1">
        <v>0.800000011920929</v>
      </c>
      <c r="J123" s="1">
        <v>4.15000009536743</v>
      </c>
      <c r="K123" s="1">
        <v>0.0</v>
      </c>
      <c r="L123" s="1">
        <v>3.0</v>
      </c>
      <c r="M123" s="1">
        <v>15.0</v>
      </c>
      <c r="N123" s="1">
        <v>315.0</v>
      </c>
      <c r="O123" s="1">
        <v>1107.0</v>
      </c>
      <c r="P123" s="1">
        <v>1845.0</v>
      </c>
    </row>
    <row r="124">
      <c r="A124" s="1">
        <v>2.873212765E9</v>
      </c>
      <c r="B124" s="2">
        <v>42494.0</v>
      </c>
      <c r="C124" s="2" t="str">
        <f t="shared" si="1"/>
        <v>Wednesday</v>
      </c>
      <c r="D124" s="1">
        <v>8432.0</v>
      </c>
      <c r="E124" s="1">
        <v>5.67000007629395</v>
      </c>
      <c r="F124" s="1">
        <v>5.67000007629395</v>
      </c>
      <c r="G124" s="1">
        <v>0.0</v>
      </c>
      <c r="H124" s="1">
        <v>0.0</v>
      </c>
      <c r="I124" s="1">
        <v>0.0</v>
      </c>
      <c r="J124" s="1">
        <v>5.65000009536743</v>
      </c>
      <c r="K124" s="1">
        <v>0.00999999977648258</v>
      </c>
      <c r="L124" s="1">
        <v>0.0</v>
      </c>
      <c r="M124" s="1">
        <v>0.0</v>
      </c>
      <c r="N124" s="1">
        <v>374.0</v>
      </c>
      <c r="O124" s="1">
        <v>1066.0</v>
      </c>
      <c r="P124" s="1">
        <v>1953.0</v>
      </c>
    </row>
    <row r="125">
      <c r="A125" s="1">
        <v>2.873212765E9</v>
      </c>
      <c r="B125" s="2">
        <v>42555.0</v>
      </c>
      <c r="C125" s="2" t="str">
        <f t="shared" si="1"/>
        <v>Monday</v>
      </c>
      <c r="D125" s="1">
        <v>9353.0</v>
      </c>
      <c r="E125" s="1">
        <v>6.30999994277954</v>
      </c>
      <c r="F125" s="1">
        <v>6.30999994277954</v>
      </c>
      <c r="G125" s="1">
        <v>0.0</v>
      </c>
      <c r="H125" s="1">
        <v>0.370000004768372</v>
      </c>
      <c r="I125" s="1">
        <v>0.689999997615814</v>
      </c>
      <c r="J125" s="1">
        <v>5.23999977111816</v>
      </c>
      <c r="K125" s="1">
        <v>0.0</v>
      </c>
      <c r="L125" s="1">
        <v>5.0</v>
      </c>
      <c r="M125" s="1">
        <v>17.0</v>
      </c>
      <c r="N125" s="1">
        <v>363.0</v>
      </c>
      <c r="O125" s="1">
        <v>1055.0</v>
      </c>
      <c r="P125" s="1">
        <v>2035.0</v>
      </c>
    </row>
    <row r="126">
      <c r="A126" s="1">
        <v>2.873212765E9</v>
      </c>
      <c r="B126" s="2">
        <v>42464.0</v>
      </c>
      <c r="C126" s="2" t="str">
        <f t="shared" si="1"/>
        <v>Monday</v>
      </c>
      <c r="D126" s="1">
        <v>9713.0</v>
      </c>
      <c r="E126" s="1">
        <v>6.53000020980835</v>
      </c>
      <c r="F126" s="1">
        <v>6.53000020980835</v>
      </c>
      <c r="G126" s="1">
        <v>0.0</v>
      </c>
      <c r="H126" s="1">
        <v>0.340000003576279</v>
      </c>
      <c r="I126" s="1">
        <v>0.889999985694885</v>
      </c>
      <c r="J126" s="1">
        <v>5.28999996185303</v>
      </c>
      <c r="K126" s="1">
        <v>0.0</v>
      </c>
      <c r="L126" s="1">
        <v>6.0</v>
      </c>
      <c r="M126" s="1">
        <v>24.0</v>
      </c>
      <c r="N126" s="1">
        <v>355.0</v>
      </c>
      <c r="O126" s="1">
        <v>1055.0</v>
      </c>
      <c r="P126" s="1">
        <v>2046.0</v>
      </c>
    </row>
    <row r="127">
      <c r="A127" s="1">
        <v>2.873212765E9</v>
      </c>
      <c r="B127" s="2">
        <v>42617.0</v>
      </c>
      <c r="C127" s="2" t="str">
        <f t="shared" si="1"/>
        <v>Sunday</v>
      </c>
      <c r="D127" s="1">
        <v>14103.0</v>
      </c>
      <c r="E127" s="1">
        <v>9.5600004196167</v>
      </c>
      <c r="F127" s="1">
        <v>9.5600004196167</v>
      </c>
      <c r="G127" s="1">
        <v>0.0</v>
      </c>
      <c r="H127" s="1">
        <v>3.01999998092651</v>
      </c>
      <c r="I127" s="1">
        <v>0.409999996423721</v>
      </c>
      <c r="J127" s="1">
        <v>6.1399998664856</v>
      </c>
      <c r="K127" s="1">
        <v>0.00999999977648258</v>
      </c>
      <c r="L127" s="1">
        <v>46.0</v>
      </c>
      <c r="M127" s="1">
        <v>8.0</v>
      </c>
      <c r="N127" s="1">
        <v>288.0</v>
      </c>
      <c r="O127" s="1">
        <v>1098.0</v>
      </c>
      <c r="P127" s="1">
        <v>2257.0</v>
      </c>
    </row>
    <row r="128">
      <c r="A128" s="1">
        <v>2.891001357E9</v>
      </c>
      <c r="B128" s="2">
        <v>42494.0</v>
      </c>
      <c r="C128" s="2" t="str">
        <f t="shared" si="1"/>
        <v>Wednesday</v>
      </c>
      <c r="D128" s="1">
        <v>2063.0</v>
      </c>
      <c r="E128" s="1">
        <v>1.61000001430511</v>
      </c>
      <c r="F128" s="1">
        <v>0.0</v>
      </c>
      <c r="G128" s="1">
        <v>1.60934400558472</v>
      </c>
      <c r="H128" s="1">
        <v>0.0</v>
      </c>
      <c r="I128" s="1">
        <v>0.0</v>
      </c>
      <c r="J128" s="1">
        <v>1.61000001430511</v>
      </c>
      <c r="K128" s="1">
        <v>0.0</v>
      </c>
      <c r="L128" s="1">
        <v>0.0</v>
      </c>
      <c r="M128" s="1">
        <v>0.0</v>
      </c>
      <c r="N128" s="1">
        <v>630.0</v>
      </c>
      <c r="O128" s="1">
        <v>99.0</v>
      </c>
      <c r="P128" s="1">
        <v>1144.0</v>
      </c>
    </row>
    <row r="129">
      <c r="A129" s="1">
        <v>2.891001357E9</v>
      </c>
      <c r="B129" s="2">
        <v>42404.0</v>
      </c>
      <c r="C129" s="2" t="str">
        <f t="shared" si="1"/>
        <v>Thursday</v>
      </c>
      <c r="D129" s="1">
        <v>4126.0</v>
      </c>
      <c r="E129" s="1">
        <v>3.22000002861023</v>
      </c>
      <c r="F129" s="1">
        <v>0.0</v>
      </c>
      <c r="G129" s="1">
        <v>3.21868801116943</v>
      </c>
      <c r="H129" s="1">
        <v>0.0</v>
      </c>
      <c r="I129" s="1">
        <v>0.0</v>
      </c>
      <c r="J129" s="1">
        <v>3.22000002861023</v>
      </c>
      <c r="K129" s="1">
        <v>0.0</v>
      </c>
      <c r="L129" s="1">
        <v>0.0</v>
      </c>
      <c r="M129" s="1">
        <v>0.0</v>
      </c>
      <c r="N129" s="1">
        <v>720.0</v>
      </c>
      <c r="O129" s="1">
        <v>720.0</v>
      </c>
      <c r="P129" s="1">
        <v>2881.0</v>
      </c>
    </row>
    <row r="130">
      <c r="A130" s="1">
        <v>3.372868164E9</v>
      </c>
      <c r="B130" s="2">
        <v>42494.0</v>
      </c>
      <c r="C130" s="2" t="str">
        <f t="shared" si="1"/>
        <v>Wednesday</v>
      </c>
      <c r="D130" s="1">
        <v>4460.0</v>
      </c>
      <c r="E130" s="1">
        <v>3.03999996185303</v>
      </c>
      <c r="F130" s="1">
        <v>3.03999996185303</v>
      </c>
      <c r="G130" s="1">
        <v>0.0</v>
      </c>
      <c r="H130" s="1">
        <v>0.0</v>
      </c>
      <c r="I130" s="1">
        <v>0.0</v>
      </c>
      <c r="J130" s="1">
        <v>3.01999998092651</v>
      </c>
      <c r="K130" s="1">
        <v>0.0299999993294477</v>
      </c>
      <c r="L130" s="1">
        <v>0.0</v>
      </c>
      <c r="M130" s="1">
        <v>0.0</v>
      </c>
      <c r="N130" s="1">
        <v>248.0</v>
      </c>
      <c r="O130" s="1">
        <v>1192.0</v>
      </c>
      <c r="P130" s="1">
        <v>1787.0</v>
      </c>
    </row>
    <row r="131">
      <c r="A131" s="1">
        <v>3.372868164E9</v>
      </c>
      <c r="B131" s="2">
        <v>42647.0</v>
      </c>
      <c r="C131" s="2" t="str">
        <f t="shared" si="1"/>
        <v>Tuesday</v>
      </c>
      <c r="D131" s="1">
        <v>4662.0</v>
      </c>
      <c r="E131" s="1">
        <v>3.1800000667572</v>
      </c>
      <c r="F131" s="1">
        <v>3.1800000667572</v>
      </c>
      <c r="G131" s="1">
        <v>0.0</v>
      </c>
      <c r="H131" s="1">
        <v>1.03999996185303</v>
      </c>
      <c r="I131" s="1">
        <v>0.150000005960464</v>
      </c>
      <c r="J131" s="1">
        <v>1.99000000953674</v>
      </c>
      <c r="K131" s="1">
        <v>0.0</v>
      </c>
      <c r="L131" s="1">
        <v>22.0</v>
      </c>
      <c r="M131" s="1">
        <v>4.0</v>
      </c>
      <c r="N131" s="1">
        <v>152.0</v>
      </c>
      <c r="O131" s="1">
        <v>735.0</v>
      </c>
      <c r="P131" s="1">
        <v>1276.0</v>
      </c>
    </row>
    <row r="132">
      <c r="A132" s="1">
        <v>3.372868164E9</v>
      </c>
      <c r="B132" s="2">
        <v>42433.0</v>
      </c>
      <c r="C132" s="2" t="str">
        <f t="shared" si="1"/>
        <v>Friday</v>
      </c>
      <c r="D132" s="1">
        <v>4706.0</v>
      </c>
      <c r="E132" s="1">
        <v>3.21000003814697</v>
      </c>
      <c r="F132" s="1">
        <v>3.21000003814697</v>
      </c>
      <c r="G132" s="1">
        <v>0.0</v>
      </c>
      <c r="H132" s="1">
        <v>0.0</v>
      </c>
      <c r="I132" s="1">
        <v>0.0</v>
      </c>
      <c r="J132" s="1">
        <v>3.21000003814697</v>
      </c>
      <c r="K132" s="1">
        <v>0.0</v>
      </c>
      <c r="L132" s="1">
        <v>0.0</v>
      </c>
      <c r="M132" s="1">
        <v>0.0</v>
      </c>
      <c r="N132" s="1">
        <v>299.0</v>
      </c>
      <c r="O132" s="1">
        <v>1141.0</v>
      </c>
      <c r="P132" s="1">
        <v>1816.0</v>
      </c>
    </row>
    <row r="133">
      <c r="A133" s="1">
        <v>3.372868164E9</v>
      </c>
      <c r="B133" s="2">
        <v>42586.0</v>
      </c>
      <c r="C133" s="2" t="str">
        <f t="shared" si="1"/>
        <v>Thursday</v>
      </c>
      <c r="D133" s="1">
        <v>5551.0</v>
      </c>
      <c r="E133" s="1">
        <v>3.78999996185303</v>
      </c>
      <c r="F133" s="1">
        <v>3.78999996185303</v>
      </c>
      <c r="G133" s="1">
        <v>0.0</v>
      </c>
      <c r="H133" s="1">
        <v>0.0</v>
      </c>
      <c r="I133" s="1">
        <v>0.0</v>
      </c>
      <c r="J133" s="1">
        <v>3.76999998092651</v>
      </c>
      <c r="K133" s="1">
        <v>0.00999999977648258</v>
      </c>
      <c r="L133" s="1">
        <v>0.0</v>
      </c>
      <c r="M133" s="1">
        <v>0.0</v>
      </c>
      <c r="N133" s="1">
        <v>282.0</v>
      </c>
      <c r="O133" s="1">
        <v>1158.0</v>
      </c>
      <c r="P133" s="1">
        <v>1815.0</v>
      </c>
    </row>
    <row r="134">
      <c r="A134" s="1">
        <v>3.372868164E9</v>
      </c>
      <c r="B134" s="2">
        <v>42373.0</v>
      </c>
      <c r="C134" s="2" t="str">
        <f t="shared" si="1"/>
        <v>Monday</v>
      </c>
      <c r="D134" s="1">
        <v>5785.0</v>
      </c>
      <c r="E134" s="1">
        <v>3.95000004768372</v>
      </c>
      <c r="F134" s="1">
        <v>3.95000004768372</v>
      </c>
      <c r="G134" s="1">
        <v>0.0</v>
      </c>
      <c r="H134" s="1">
        <v>0.0</v>
      </c>
      <c r="I134" s="1">
        <v>0.0</v>
      </c>
      <c r="J134" s="1">
        <v>3.91000008583069</v>
      </c>
      <c r="K134" s="1">
        <v>0.0399999991059303</v>
      </c>
      <c r="L134" s="1">
        <v>0.0</v>
      </c>
      <c r="M134" s="1">
        <v>0.0</v>
      </c>
      <c r="N134" s="1">
        <v>311.0</v>
      </c>
      <c r="O134" s="1">
        <v>1129.0</v>
      </c>
      <c r="P134" s="1">
        <v>1852.0</v>
      </c>
    </row>
    <row r="135">
      <c r="A135" s="1">
        <v>3.372868164E9</v>
      </c>
      <c r="B135" s="2">
        <v>42464.0</v>
      </c>
      <c r="C135" s="2" t="str">
        <f t="shared" si="1"/>
        <v>Monday</v>
      </c>
      <c r="D135" s="1">
        <v>5861.0</v>
      </c>
      <c r="E135" s="1">
        <v>4.01999998092651</v>
      </c>
      <c r="F135" s="1">
        <v>4.01999998092651</v>
      </c>
      <c r="G135" s="1">
        <v>0.0</v>
      </c>
      <c r="H135" s="1">
        <v>1.29999995231628</v>
      </c>
      <c r="I135" s="1">
        <v>0.219999998807907</v>
      </c>
      <c r="J135" s="1">
        <v>2.49000000953674</v>
      </c>
      <c r="K135" s="1">
        <v>0.00999999977648258</v>
      </c>
      <c r="L135" s="1">
        <v>20.0</v>
      </c>
      <c r="M135" s="1">
        <v>7.0</v>
      </c>
      <c r="N135" s="1">
        <v>233.0</v>
      </c>
      <c r="O135" s="1">
        <v>1180.0</v>
      </c>
      <c r="P135" s="1">
        <v>1878.0</v>
      </c>
    </row>
    <row r="136">
      <c r="A136" s="1">
        <v>3.372868164E9</v>
      </c>
      <c r="B136" s="2">
        <v>42525.0</v>
      </c>
      <c r="C136" s="2" t="str">
        <f t="shared" si="1"/>
        <v>Saturday</v>
      </c>
      <c r="D136" s="1">
        <v>6406.0</v>
      </c>
      <c r="E136" s="1">
        <v>4.3899998664856</v>
      </c>
      <c r="F136" s="1">
        <v>4.3899998664856</v>
      </c>
      <c r="G136" s="1">
        <v>0.0</v>
      </c>
      <c r="H136" s="1">
        <v>0.779999971389771</v>
      </c>
      <c r="I136" s="1">
        <v>0.0900000035762787</v>
      </c>
      <c r="J136" s="1">
        <v>3.51999998092651</v>
      </c>
      <c r="K136" s="1">
        <v>0.00999999977648258</v>
      </c>
      <c r="L136" s="1">
        <v>17.0</v>
      </c>
      <c r="M136" s="1">
        <v>4.0</v>
      </c>
      <c r="N136" s="1">
        <v>325.0</v>
      </c>
      <c r="O136" s="1">
        <v>1094.0</v>
      </c>
      <c r="P136" s="1">
        <v>2010.0</v>
      </c>
    </row>
    <row r="137">
      <c r="A137" s="1">
        <v>3.372868164E9</v>
      </c>
      <c r="B137" s="2">
        <v>42555.0</v>
      </c>
      <c r="C137" s="2" t="str">
        <f t="shared" si="1"/>
        <v>Monday</v>
      </c>
      <c r="D137" s="1">
        <v>7392.0</v>
      </c>
      <c r="E137" s="1">
        <v>5.09999990463257</v>
      </c>
      <c r="F137" s="1">
        <v>5.09999990463257</v>
      </c>
      <c r="G137" s="1">
        <v>0.0</v>
      </c>
      <c r="H137" s="1">
        <v>0.870000004768372</v>
      </c>
      <c r="I137" s="1">
        <v>0.159999996423721</v>
      </c>
      <c r="J137" s="1">
        <v>4.05000019073486</v>
      </c>
      <c r="K137" s="1">
        <v>0.0199999995529652</v>
      </c>
      <c r="L137" s="1">
        <v>14.0</v>
      </c>
      <c r="M137" s="1">
        <v>9.0</v>
      </c>
      <c r="N137" s="1">
        <v>332.0</v>
      </c>
      <c r="O137" s="1">
        <v>1085.0</v>
      </c>
      <c r="P137" s="1">
        <v>2038.0</v>
      </c>
    </row>
    <row r="138">
      <c r="A138" s="1">
        <v>3.372868164E9</v>
      </c>
      <c r="B138" s="2">
        <v>42404.0</v>
      </c>
      <c r="C138" s="2" t="str">
        <f t="shared" si="1"/>
        <v>Thursday</v>
      </c>
      <c r="D138" s="1">
        <v>7625.0</v>
      </c>
      <c r="E138" s="1">
        <v>5.23000001907349</v>
      </c>
      <c r="F138" s="1">
        <v>5.23000001907349</v>
      </c>
      <c r="G138" s="1">
        <v>0.0</v>
      </c>
      <c r="H138" s="1">
        <v>1.67999994754791</v>
      </c>
      <c r="I138" s="1">
        <v>0.0399999991059303</v>
      </c>
      <c r="J138" s="1">
        <v>3.5</v>
      </c>
      <c r="K138" s="1">
        <v>0.00999999977648258</v>
      </c>
      <c r="L138" s="1">
        <v>24.0</v>
      </c>
      <c r="M138" s="1">
        <v>1.0</v>
      </c>
      <c r="N138" s="1">
        <v>341.0</v>
      </c>
      <c r="O138" s="1">
        <v>1074.0</v>
      </c>
      <c r="P138" s="1">
        <v>2069.0</v>
      </c>
    </row>
    <row r="139">
      <c r="A139" s="1">
        <v>3.372868164E9</v>
      </c>
      <c r="B139" s="2">
        <v>42617.0</v>
      </c>
      <c r="C139" s="2" t="str">
        <f t="shared" si="1"/>
        <v>Sunday</v>
      </c>
      <c r="D139" s="1">
        <v>8827.0</v>
      </c>
      <c r="E139" s="1">
        <v>6.25</v>
      </c>
      <c r="F139" s="1">
        <v>6.25</v>
      </c>
      <c r="G139" s="1">
        <v>0.0</v>
      </c>
      <c r="H139" s="1">
        <v>1.76999998092651</v>
      </c>
      <c r="I139" s="1">
        <v>0.479999989271164</v>
      </c>
      <c r="J139" s="1">
        <v>4.0</v>
      </c>
      <c r="K139" s="1">
        <v>0.00999999977648258</v>
      </c>
      <c r="L139" s="1">
        <v>21.0</v>
      </c>
      <c r="M139" s="1">
        <v>10.0</v>
      </c>
      <c r="N139" s="1">
        <v>346.0</v>
      </c>
      <c r="O139" s="1">
        <v>1063.0</v>
      </c>
      <c r="P139" s="1">
        <v>2062.0</v>
      </c>
    </row>
    <row r="140">
      <c r="A140" s="1">
        <v>3.977333714E9</v>
      </c>
      <c r="B140" s="2">
        <v>42708.0</v>
      </c>
      <c r="C140" s="2" t="str">
        <f t="shared" si="1"/>
        <v>Sunday</v>
      </c>
      <c r="D140" s="1">
        <v>759.0</v>
      </c>
      <c r="E140" s="1">
        <v>0.569999992847443</v>
      </c>
      <c r="F140" s="1">
        <v>0.569999992847443</v>
      </c>
      <c r="G140" s="1">
        <v>0.0</v>
      </c>
      <c r="H140" s="1">
        <v>0.0</v>
      </c>
      <c r="I140" s="1">
        <v>0.0</v>
      </c>
      <c r="J140" s="1">
        <v>0.569999992847443</v>
      </c>
      <c r="K140" s="1">
        <v>0.0</v>
      </c>
      <c r="L140" s="1">
        <v>0.0</v>
      </c>
      <c r="M140" s="1">
        <v>0.0</v>
      </c>
      <c r="N140" s="1">
        <v>17.0</v>
      </c>
      <c r="O140" s="1">
        <v>187.0</v>
      </c>
      <c r="P140" s="1">
        <v>182.0</v>
      </c>
    </row>
    <row r="141">
      <c r="A141" s="1">
        <v>3.977333714E9</v>
      </c>
      <c r="B141" s="2">
        <v>42678.0</v>
      </c>
      <c r="C141" s="2" t="str">
        <f t="shared" si="1"/>
        <v>Friday</v>
      </c>
      <c r="D141" s="1">
        <v>3108.0</v>
      </c>
      <c r="E141" s="1">
        <v>2.14000010490417</v>
      </c>
      <c r="F141" s="1">
        <v>2.14000010490417</v>
      </c>
      <c r="G141" s="1">
        <v>0.0</v>
      </c>
      <c r="H141" s="1">
        <v>0.0700000002980232</v>
      </c>
      <c r="I141" s="1">
        <v>0.0399999991059303</v>
      </c>
      <c r="J141" s="1">
        <v>1.96000003814697</v>
      </c>
      <c r="K141" s="1">
        <v>0.0</v>
      </c>
      <c r="L141" s="1">
        <v>1.0</v>
      </c>
      <c r="M141" s="1">
        <v>1.0</v>
      </c>
      <c r="N141" s="1">
        <v>129.0</v>
      </c>
      <c r="O141" s="1">
        <v>894.0</v>
      </c>
      <c r="P141" s="1">
        <v>1223.0</v>
      </c>
    </row>
    <row r="142">
      <c r="A142" s="1">
        <v>3.977333714E9</v>
      </c>
      <c r="B142" s="2">
        <v>42647.0</v>
      </c>
      <c r="C142" s="2" t="str">
        <f t="shared" si="1"/>
        <v>Tuesday</v>
      </c>
      <c r="D142" s="1">
        <v>3573.0</v>
      </c>
      <c r="E142" s="1">
        <v>2.39000010490417</v>
      </c>
      <c r="F142" s="1">
        <v>2.39000010490417</v>
      </c>
      <c r="G142" s="1">
        <v>0.0</v>
      </c>
      <c r="H142" s="1">
        <v>0.939999997615814</v>
      </c>
      <c r="I142" s="1">
        <v>0.409999996423721</v>
      </c>
      <c r="J142" s="1">
        <v>0.970000028610229</v>
      </c>
      <c r="K142" s="1">
        <v>0.0</v>
      </c>
      <c r="L142" s="1">
        <v>15.0</v>
      </c>
      <c r="M142" s="1">
        <v>8.0</v>
      </c>
      <c r="N142" s="1">
        <v>99.0</v>
      </c>
      <c r="O142" s="1">
        <v>866.0</v>
      </c>
      <c r="P142" s="1">
        <v>1232.0</v>
      </c>
    </row>
    <row r="143">
      <c r="A143" s="1">
        <v>3.977333714E9</v>
      </c>
      <c r="B143" s="2">
        <v>42373.0</v>
      </c>
      <c r="C143" s="2" t="str">
        <f t="shared" si="1"/>
        <v>Monday</v>
      </c>
      <c r="D143" s="1">
        <v>4499.0</v>
      </c>
      <c r="E143" s="1">
        <v>3.00999999046326</v>
      </c>
      <c r="F143" s="1">
        <v>3.00999999046326</v>
      </c>
      <c r="G143" s="1">
        <v>0.0</v>
      </c>
      <c r="H143" s="1">
        <v>0.0</v>
      </c>
      <c r="I143" s="1">
        <v>0.0</v>
      </c>
      <c r="J143" s="1">
        <v>3.00999999046326</v>
      </c>
      <c r="K143" s="1">
        <v>0.0</v>
      </c>
      <c r="L143" s="1">
        <v>0.0</v>
      </c>
      <c r="M143" s="1">
        <v>0.0</v>
      </c>
      <c r="N143" s="1">
        <v>168.0</v>
      </c>
      <c r="O143" s="1">
        <v>842.0</v>
      </c>
      <c r="P143" s="1">
        <v>1288.0</v>
      </c>
    </row>
    <row r="144">
      <c r="A144" s="1">
        <v>3.977333714E9</v>
      </c>
      <c r="B144" s="2">
        <v>42404.0</v>
      </c>
      <c r="C144" s="2" t="str">
        <f t="shared" si="1"/>
        <v>Thursday</v>
      </c>
      <c r="D144" s="1">
        <v>7618.0</v>
      </c>
      <c r="E144" s="1">
        <v>5.09999990463257</v>
      </c>
      <c r="F144" s="1">
        <v>5.09999990463257</v>
      </c>
      <c r="G144" s="1">
        <v>0.0</v>
      </c>
      <c r="H144" s="1">
        <v>0.0</v>
      </c>
      <c r="I144" s="1">
        <v>0.180000007152557</v>
      </c>
      <c r="J144" s="1">
        <v>4.90999984741211</v>
      </c>
      <c r="K144" s="1">
        <v>0.0</v>
      </c>
      <c r="L144" s="1">
        <v>0.0</v>
      </c>
      <c r="M144" s="1">
        <v>6.0</v>
      </c>
      <c r="N144" s="1">
        <v>302.0</v>
      </c>
      <c r="O144" s="1">
        <v>842.0</v>
      </c>
      <c r="P144" s="1">
        <v>1490.0</v>
      </c>
    </row>
    <row r="145">
      <c r="A145" s="1">
        <v>3.977333714E9</v>
      </c>
      <c r="B145" s="2">
        <v>42555.0</v>
      </c>
      <c r="C145" s="2" t="str">
        <f t="shared" si="1"/>
        <v>Monday</v>
      </c>
      <c r="D145" s="1">
        <v>8422.0</v>
      </c>
      <c r="E145" s="1">
        <v>5.63000011444092</v>
      </c>
      <c r="F145" s="1">
        <v>5.63000011444092</v>
      </c>
      <c r="G145" s="1">
        <v>0.0</v>
      </c>
      <c r="H145" s="1">
        <v>0.0</v>
      </c>
      <c r="I145" s="1">
        <v>3.59999990463257</v>
      </c>
      <c r="J145" s="1">
        <v>2.03999996185303</v>
      </c>
      <c r="K145" s="1">
        <v>0.0</v>
      </c>
      <c r="L145" s="1">
        <v>0.0</v>
      </c>
      <c r="M145" s="1">
        <v>81.0</v>
      </c>
      <c r="N145" s="1">
        <v>139.0</v>
      </c>
      <c r="O145" s="1">
        <v>815.0</v>
      </c>
      <c r="P145" s="1">
        <v>1431.0</v>
      </c>
    </row>
    <row r="146">
      <c r="A146" s="1">
        <v>3.977333714E9</v>
      </c>
      <c r="B146" s="2">
        <v>42586.0</v>
      </c>
      <c r="C146" s="2" t="str">
        <f t="shared" si="1"/>
        <v>Thursday</v>
      </c>
      <c r="D146" s="1">
        <v>10226.0</v>
      </c>
      <c r="E146" s="1">
        <v>6.84000015258789</v>
      </c>
      <c r="F146" s="1">
        <v>6.84000015258789</v>
      </c>
      <c r="G146" s="1">
        <v>0.0</v>
      </c>
      <c r="H146" s="1">
        <v>0.0</v>
      </c>
      <c r="I146" s="1">
        <v>4.44000005722046</v>
      </c>
      <c r="J146" s="1">
        <v>2.40000009536743</v>
      </c>
      <c r="K146" s="1">
        <v>0.0</v>
      </c>
      <c r="L146" s="1">
        <v>0.0</v>
      </c>
      <c r="M146" s="1">
        <v>101.0</v>
      </c>
      <c r="N146" s="1">
        <v>174.0</v>
      </c>
      <c r="O146" s="1">
        <v>685.0</v>
      </c>
      <c r="P146" s="1">
        <v>1524.0</v>
      </c>
    </row>
    <row r="147">
      <c r="A147" s="1">
        <v>3.977333714E9</v>
      </c>
      <c r="B147" s="2">
        <v>42433.0</v>
      </c>
      <c r="C147" s="2" t="str">
        <f t="shared" si="1"/>
        <v>Friday</v>
      </c>
      <c r="D147" s="1">
        <v>11508.0</v>
      </c>
      <c r="E147" s="1">
        <v>7.69999980926514</v>
      </c>
      <c r="F147" s="1">
        <v>7.69999980926514</v>
      </c>
      <c r="G147" s="1">
        <v>0.0</v>
      </c>
      <c r="H147" s="1">
        <v>2.17000007629395</v>
      </c>
      <c r="I147" s="1">
        <v>0.839999973773956</v>
      </c>
      <c r="J147" s="1">
        <v>4.69000005722046</v>
      </c>
      <c r="K147" s="1">
        <v>0.0</v>
      </c>
      <c r="L147" s="1">
        <v>29.0</v>
      </c>
      <c r="M147" s="1">
        <v>22.0</v>
      </c>
      <c r="N147" s="1">
        <v>282.0</v>
      </c>
      <c r="O147" s="1">
        <v>748.0</v>
      </c>
      <c r="P147" s="1">
        <v>1630.0</v>
      </c>
    </row>
    <row r="148">
      <c r="A148" s="1">
        <v>3.977333714E9</v>
      </c>
      <c r="B148" s="2">
        <v>42464.0</v>
      </c>
      <c r="C148" s="2" t="str">
        <f t="shared" si="1"/>
        <v>Monday</v>
      </c>
      <c r="D148" s="1">
        <v>11943.0</v>
      </c>
      <c r="E148" s="1">
        <v>7.98999977111816</v>
      </c>
      <c r="F148" s="1">
        <v>7.98999977111816</v>
      </c>
      <c r="G148" s="1">
        <v>0.0</v>
      </c>
      <c r="H148" s="1">
        <v>1.02999997138977</v>
      </c>
      <c r="I148" s="1">
        <v>2.00999999046326</v>
      </c>
      <c r="J148" s="1">
        <v>4.94999980926514</v>
      </c>
      <c r="K148" s="1">
        <v>0.0</v>
      </c>
      <c r="L148" s="1">
        <v>16.0</v>
      </c>
      <c r="M148" s="1">
        <v>43.0</v>
      </c>
      <c r="N148" s="1">
        <v>297.0</v>
      </c>
      <c r="O148" s="1">
        <v>710.0</v>
      </c>
      <c r="P148" s="1">
        <v>1648.0</v>
      </c>
    </row>
    <row r="149">
      <c r="A149" s="1">
        <v>3.977333714E9</v>
      </c>
      <c r="B149" s="2">
        <v>42494.0</v>
      </c>
      <c r="C149" s="2" t="str">
        <f t="shared" si="1"/>
        <v>Wednesday</v>
      </c>
      <c r="D149" s="1">
        <v>12303.0</v>
      </c>
      <c r="E149" s="1">
        <v>8.22999954223633</v>
      </c>
      <c r="F149" s="1">
        <v>8.22999954223633</v>
      </c>
      <c r="G149" s="1">
        <v>0.0</v>
      </c>
      <c r="H149" s="1">
        <v>1.71000003814697</v>
      </c>
      <c r="I149" s="1">
        <v>1.35000002384186</v>
      </c>
      <c r="J149" s="1">
        <v>5.17000007629395</v>
      </c>
      <c r="K149" s="1">
        <v>0.0</v>
      </c>
      <c r="L149" s="1">
        <v>26.0</v>
      </c>
      <c r="M149" s="1">
        <v>32.0</v>
      </c>
      <c r="N149" s="1">
        <v>291.0</v>
      </c>
      <c r="O149" s="1">
        <v>605.0</v>
      </c>
      <c r="P149" s="1">
        <v>1649.0</v>
      </c>
    </row>
    <row r="150">
      <c r="A150" s="1">
        <v>3.977333714E9</v>
      </c>
      <c r="B150" s="2">
        <v>42617.0</v>
      </c>
      <c r="C150" s="2" t="str">
        <f t="shared" si="1"/>
        <v>Sunday</v>
      </c>
      <c r="D150" s="1">
        <v>14583.0</v>
      </c>
      <c r="E150" s="1">
        <v>9.76000022888184</v>
      </c>
      <c r="F150" s="1">
        <v>9.76000022888184</v>
      </c>
      <c r="G150" s="1">
        <v>0.0</v>
      </c>
      <c r="H150" s="1">
        <v>2.48000001907349</v>
      </c>
      <c r="I150" s="1">
        <v>1.74000000953674</v>
      </c>
      <c r="J150" s="1">
        <v>5.53000020980835</v>
      </c>
      <c r="K150" s="1">
        <v>0.0</v>
      </c>
      <c r="L150" s="1">
        <v>35.0</v>
      </c>
      <c r="M150" s="1">
        <v>36.0</v>
      </c>
      <c r="N150" s="1">
        <v>254.0</v>
      </c>
      <c r="O150" s="1">
        <v>697.0</v>
      </c>
      <c r="P150" s="1">
        <v>1697.0</v>
      </c>
    </row>
    <row r="151">
      <c r="A151" s="1">
        <v>3.977333714E9</v>
      </c>
      <c r="B151" s="2">
        <v>42525.0</v>
      </c>
      <c r="C151" s="2" t="str">
        <f t="shared" si="1"/>
        <v>Saturday</v>
      </c>
      <c r="D151" s="1">
        <v>15425.0</v>
      </c>
      <c r="E151" s="1">
        <v>10.3199996948242</v>
      </c>
      <c r="F151" s="1">
        <v>10.3199996948242</v>
      </c>
      <c r="G151" s="1">
        <v>0.0</v>
      </c>
      <c r="H151" s="1">
        <v>1.62000000476837</v>
      </c>
      <c r="I151" s="1">
        <v>1.82000005245209</v>
      </c>
      <c r="J151" s="1">
        <v>6.86999988555908</v>
      </c>
      <c r="K151" s="1">
        <v>0.0</v>
      </c>
      <c r="L151" s="1">
        <v>24.0</v>
      </c>
      <c r="M151" s="1">
        <v>45.0</v>
      </c>
      <c r="N151" s="1">
        <v>331.0</v>
      </c>
      <c r="O151" s="1">
        <v>614.0</v>
      </c>
      <c r="P151" s="1">
        <v>1783.0</v>
      </c>
    </row>
    <row r="152">
      <c r="A152" s="1">
        <v>4.02033265E9</v>
      </c>
      <c r="B152" s="2">
        <v>42708.0</v>
      </c>
      <c r="C152" s="2" t="str">
        <f t="shared" si="1"/>
        <v>Sunday</v>
      </c>
      <c r="D152" s="1">
        <v>8.0</v>
      </c>
      <c r="E152" s="1">
        <v>0.00999999977648258</v>
      </c>
      <c r="F152" s="1">
        <v>0.00999999977648258</v>
      </c>
      <c r="G152" s="1">
        <v>0.0</v>
      </c>
      <c r="H152" s="1">
        <v>0.0</v>
      </c>
      <c r="I152" s="1">
        <v>0.0</v>
      </c>
      <c r="J152" s="1">
        <v>0.00999999977648258</v>
      </c>
      <c r="K152" s="1">
        <v>0.0</v>
      </c>
      <c r="L152" s="1">
        <v>0.0</v>
      </c>
      <c r="M152" s="1">
        <v>0.0</v>
      </c>
      <c r="N152" s="1">
        <v>1.0</v>
      </c>
      <c r="O152" s="1">
        <v>321.0</v>
      </c>
      <c r="P152" s="1">
        <v>446.0</v>
      </c>
    </row>
    <row r="153">
      <c r="A153" s="1">
        <v>4.02033265E9</v>
      </c>
      <c r="B153" s="2" t="s">
        <v>24</v>
      </c>
      <c r="C153" s="2" t="str">
        <f t="shared" si="1"/>
        <v>Friday</v>
      </c>
      <c r="D153" s="1">
        <v>368.0</v>
      </c>
      <c r="E153" s="1">
        <v>0.259999990463257</v>
      </c>
      <c r="F153" s="1">
        <v>0.259999990463257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1440.0</v>
      </c>
      <c r="P153" s="1">
        <v>2024.0</v>
      </c>
    </row>
    <row r="154">
      <c r="A154" s="1">
        <v>4.02033265E9</v>
      </c>
      <c r="B154" s="2" t="s">
        <v>25</v>
      </c>
      <c r="C154" s="2" t="str">
        <f t="shared" si="1"/>
        <v>Thursday</v>
      </c>
      <c r="D154" s="1">
        <v>1951.0</v>
      </c>
      <c r="E154" s="1">
        <v>1.4099999666214</v>
      </c>
      <c r="F154" s="1">
        <v>1.4099999666214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1440.0</v>
      </c>
      <c r="P154" s="1">
        <v>1980.0</v>
      </c>
    </row>
    <row r="155">
      <c r="A155" s="1">
        <v>4.02033265E9</v>
      </c>
      <c r="B155" s="2" t="s">
        <v>22</v>
      </c>
      <c r="C155" s="2" t="str">
        <f t="shared" si="1"/>
        <v>Monday</v>
      </c>
      <c r="D155" s="1">
        <v>2106.0</v>
      </c>
      <c r="E155" s="1">
        <v>1.50999999046326</v>
      </c>
      <c r="F155" s="1">
        <v>1.50999999046326</v>
      </c>
      <c r="G155" s="1">
        <v>0.0</v>
      </c>
      <c r="H155" s="1">
        <v>0.0199999995529652</v>
      </c>
      <c r="I155" s="1">
        <v>0.0500000007450581</v>
      </c>
      <c r="J155" s="1">
        <v>0.209999993443489</v>
      </c>
      <c r="K155" s="1">
        <v>0.0</v>
      </c>
      <c r="L155" s="1">
        <v>31.0</v>
      </c>
      <c r="M155" s="1">
        <v>45.0</v>
      </c>
      <c r="N155" s="1">
        <v>75.0</v>
      </c>
      <c r="O155" s="1">
        <v>1289.0</v>
      </c>
      <c r="P155" s="1">
        <v>4010.0</v>
      </c>
    </row>
    <row r="156">
      <c r="A156" s="1">
        <v>4.02033265E9</v>
      </c>
      <c r="B156" s="2">
        <v>42678.0</v>
      </c>
      <c r="C156" s="2" t="str">
        <f t="shared" si="1"/>
        <v>Friday</v>
      </c>
      <c r="D156" s="1">
        <v>2993.0</v>
      </c>
      <c r="E156" s="1">
        <v>2.15000009536743</v>
      </c>
      <c r="F156" s="1">
        <v>2.15000009536743</v>
      </c>
      <c r="G156" s="1">
        <v>0.0</v>
      </c>
      <c r="H156" s="1">
        <v>0.0</v>
      </c>
      <c r="I156" s="1">
        <v>0.0</v>
      </c>
      <c r="J156" s="1">
        <v>2.08999991416931</v>
      </c>
      <c r="K156" s="1">
        <v>0.0</v>
      </c>
      <c r="L156" s="1">
        <v>0.0</v>
      </c>
      <c r="M156" s="1">
        <v>0.0</v>
      </c>
      <c r="N156" s="1">
        <v>114.0</v>
      </c>
      <c r="O156" s="1">
        <v>888.0</v>
      </c>
      <c r="P156" s="1">
        <v>2507.0</v>
      </c>
    </row>
    <row r="157">
      <c r="A157" s="1">
        <v>4.02033265E9</v>
      </c>
      <c r="B157" s="2" t="s">
        <v>26</v>
      </c>
      <c r="C157" s="2" t="str">
        <f t="shared" si="1"/>
        <v>Monday</v>
      </c>
      <c r="D157" s="1">
        <v>3023.0</v>
      </c>
      <c r="E157" s="1">
        <v>2.17000007629395</v>
      </c>
      <c r="F157" s="1">
        <v>2.17000007629395</v>
      </c>
      <c r="G157" s="1">
        <v>0.0</v>
      </c>
      <c r="H157" s="1">
        <v>0.0</v>
      </c>
      <c r="I157" s="1">
        <v>0.0</v>
      </c>
      <c r="J157" s="1">
        <v>2.14000010490417</v>
      </c>
      <c r="K157" s="1">
        <v>0.0</v>
      </c>
      <c r="L157" s="1">
        <v>0.0</v>
      </c>
      <c r="M157" s="1">
        <v>0.0</v>
      </c>
      <c r="N157" s="1">
        <v>145.0</v>
      </c>
      <c r="O157" s="1">
        <v>1005.0</v>
      </c>
      <c r="P157" s="1">
        <v>2570.0</v>
      </c>
    </row>
    <row r="158">
      <c r="A158" s="1">
        <v>4.02033265E9</v>
      </c>
      <c r="B158" s="2" t="s">
        <v>27</v>
      </c>
      <c r="C158" s="2" t="str">
        <f t="shared" si="1"/>
        <v>Sunday</v>
      </c>
      <c r="D158" s="1">
        <v>3226.0</v>
      </c>
      <c r="E158" s="1">
        <v>2.30999994277954</v>
      </c>
      <c r="F158" s="1">
        <v>2.30999994277954</v>
      </c>
      <c r="G158" s="1">
        <v>0.0</v>
      </c>
      <c r="H158" s="1">
        <v>0.0</v>
      </c>
      <c r="I158" s="1">
        <v>0.0</v>
      </c>
      <c r="J158" s="1">
        <v>2.27999997138977</v>
      </c>
      <c r="K158" s="1">
        <v>0.0</v>
      </c>
      <c r="L158" s="1">
        <v>0.0</v>
      </c>
      <c r="M158" s="1">
        <v>0.0</v>
      </c>
      <c r="N158" s="1">
        <v>136.0</v>
      </c>
      <c r="O158" s="1">
        <v>771.0</v>
      </c>
      <c r="P158" s="1">
        <v>2480.0</v>
      </c>
    </row>
    <row r="159">
      <c r="A159" s="1">
        <v>4.02033265E9</v>
      </c>
      <c r="B159" s="2" t="s">
        <v>19</v>
      </c>
      <c r="C159" s="2" t="str">
        <f t="shared" si="1"/>
        <v>Tuesday</v>
      </c>
      <c r="D159" s="1">
        <v>4152.0</v>
      </c>
      <c r="E159" s="1">
        <v>2.98000001907349</v>
      </c>
      <c r="F159" s="1">
        <v>2.98000001907349</v>
      </c>
      <c r="G159" s="1">
        <v>0.0</v>
      </c>
      <c r="H159" s="1">
        <v>0.0</v>
      </c>
      <c r="I159" s="1">
        <v>0.0</v>
      </c>
      <c r="J159" s="1">
        <v>2.96000003814697</v>
      </c>
      <c r="K159" s="1">
        <v>0.0</v>
      </c>
      <c r="L159" s="1">
        <v>0.0</v>
      </c>
      <c r="M159" s="1">
        <v>0.0</v>
      </c>
      <c r="N159" s="1">
        <v>187.0</v>
      </c>
      <c r="O159" s="1">
        <v>1253.0</v>
      </c>
      <c r="P159" s="1">
        <v>2976.0</v>
      </c>
    </row>
    <row r="160">
      <c r="A160" s="1">
        <v>4.02033265E9</v>
      </c>
      <c r="B160" s="2">
        <v>42404.0</v>
      </c>
      <c r="C160" s="2" t="str">
        <f t="shared" si="1"/>
        <v>Thursday</v>
      </c>
      <c r="D160" s="1">
        <v>4299.0</v>
      </c>
      <c r="E160" s="1">
        <v>3.09999990463257</v>
      </c>
      <c r="F160" s="1">
        <v>3.09999990463257</v>
      </c>
      <c r="G160" s="1">
        <v>0.0</v>
      </c>
      <c r="H160" s="1">
        <v>0.0900000035762787</v>
      </c>
      <c r="I160" s="1">
        <v>0.209999993443489</v>
      </c>
      <c r="J160" s="1">
        <v>2.74000000953674</v>
      </c>
      <c r="K160" s="1">
        <v>0.0399999991059303</v>
      </c>
      <c r="L160" s="1">
        <v>3.0</v>
      </c>
      <c r="M160" s="1">
        <v>15.0</v>
      </c>
      <c r="N160" s="1">
        <v>162.0</v>
      </c>
      <c r="O160" s="1">
        <v>752.0</v>
      </c>
      <c r="P160" s="1">
        <v>2892.0</v>
      </c>
    </row>
    <row r="161">
      <c r="A161" s="1">
        <v>4.02033265E9</v>
      </c>
      <c r="B161" s="2" t="s">
        <v>23</v>
      </c>
      <c r="C161" s="2" t="str">
        <f t="shared" si="1"/>
        <v>Saturday</v>
      </c>
      <c r="D161" s="1">
        <v>4370.0</v>
      </c>
      <c r="E161" s="1">
        <v>3.13000011444092</v>
      </c>
      <c r="F161" s="1">
        <v>3.13000011444092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1440.0</v>
      </c>
      <c r="P161" s="1">
        <v>3444.0</v>
      </c>
    </row>
    <row r="162">
      <c r="A162" s="1">
        <v>4.02033265E9</v>
      </c>
      <c r="B162" s="2">
        <v>42647.0</v>
      </c>
      <c r="C162" s="2" t="str">
        <f t="shared" si="1"/>
        <v>Tuesday</v>
      </c>
      <c r="D162" s="1">
        <v>5129.0</v>
      </c>
      <c r="E162" s="1">
        <v>3.6800000667572</v>
      </c>
      <c r="F162" s="1">
        <v>3.6800000667572</v>
      </c>
      <c r="G162" s="1">
        <v>0.0</v>
      </c>
      <c r="H162" s="1">
        <v>0.180000007152557</v>
      </c>
      <c r="I162" s="1">
        <v>0.239999994635582</v>
      </c>
      <c r="J162" s="1">
        <v>3.21000003814697</v>
      </c>
      <c r="K162" s="1">
        <v>0.00999999977648258</v>
      </c>
      <c r="L162" s="1">
        <v>5.0</v>
      </c>
      <c r="M162" s="1">
        <v>7.0</v>
      </c>
      <c r="N162" s="1">
        <v>176.0</v>
      </c>
      <c r="O162" s="1">
        <v>1178.0</v>
      </c>
      <c r="P162" s="1">
        <v>2817.0</v>
      </c>
    </row>
    <row r="163">
      <c r="A163" s="1">
        <v>4.02033265E9</v>
      </c>
      <c r="B163" s="2">
        <v>42373.0</v>
      </c>
      <c r="C163" s="2" t="str">
        <f t="shared" si="1"/>
        <v>Monday</v>
      </c>
      <c r="D163" s="1">
        <v>5351.0</v>
      </c>
      <c r="E163" s="1">
        <v>3.83999991416931</v>
      </c>
      <c r="F163" s="1">
        <v>3.83999991416931</v>
      </c>
      <c r="G163" s="1">
        <v>0.0</v>
      </c>
      <c r="H163" s="1">
        <v>0.620000004768372</v>
      </c>
      <c r="I163" s="1">
        <v>0.180000007152557</v>
      </c>
      <c r="J163" s="1">
        <v>3.00999999046326</v>
      </c>
      <c r="K163" s="1">
        <v>0.0</v>
      </c>
      <c r="L163" s="1">
        <v>15.0</v>
      </c>
      <c r="M163" s="1">
        <v>17.0</v>
      </c>
      <c r="N163" s="1">
        <v>210.0</v>
      </c>
      <c r="O163" s="1">
        <v>748.0</v>
      </c>
      <c r="P163" s="1">
        <v>3338.0</v>
      </c>
    </row>
    <row r="164">
      <c r="A164" s="1">
        <v>4.02033265E9</v>
      </c>
      <c r="B164" s="2" t="s">
        <v>17</v>
      </c>
      <c r="C164" s="2" t="str">
        <f t="shared" si="1"/>
        <v>Wednesday</v>
      </c>
      <c r="D164" s="1">
        <v>5400.0</v>
      </c>
      <c r="E164" s="1">
        <v>3.86999988555908</v>
      </c>
      <c r="F164" s="1">
        <v>3.86999988555908</v>
      </c>
      <c r="G164" s="1">
        <v>0.0</v>
      </c>
      <c r="H164" s="1">
        <v>0.0</v>
      </c>
      <c r="I164" s="1">
        <v>0.0</v>
      </c>
      <c r="J164" s="1">
        <v>3.84999990463257</v>
      </c>
      <c r="K164" s="1">
        <v>0.0</v>
      </c>
      <c r="L164" s="1">
        <v>0.0</v>
      </c>
      <c r="M164" s="1">
        <v>0.0</v>
      </c>
      <c r="N164" s="1">
        <v>258.0</v>
      </c>
      <c r="O164" s="1">
        <v>795.0</v>
      </c>
      <c r="P164" s="1">
        <v>3418.0</v>
      </c>
    </row>
    <row r="165">
      <c r="A165" s="1">
        <v>4.02033265E9</v>
      </c>
      <c r="B165" s="2">
        <v>42707.0</v>
      </c>
      <c r="C165" s="2" t="str">
        <f t="shared" si="1"/>
        <v>Saturday</v>
      </c>
      <c r="D165" s="1">
        <v>5543.0</v>
      </c>
      <c r="E165" s="1">
        <v>3.97000002861023</v>
      </c>
      <c r="F165" s="1">
        <v>3.97000002861023</v>
      </c>
      <c r="G165" s="1">
        <v>0.0</v>
      </c>
      <c r="H165" s="1">
        <v>0.0</v>
      </c>
      <c r="I165" s="1">
        <v>0.0</v>
      </c>
      <c r="J165" s="1">
        <v>3.96000003814697</v>
      </c>
      <c r="K165" s="1">
        <v>0.00999999977648258</v>
      </c>
      <c r="L165" s="1">
        <v>0.0</v>
      </c>
      <c r="M165" s="1">
        <v>0.0</v>
      </c>
      <c r="N165" s="1">
        <v>254.0</v>
      </c>
      <c r="O165" s="1">
        <v>757.0</v>
      </c>
      <c r="P165" s="1">
        <v>2990.0</v>
      </c>
    </row>
    <row r="166">
      <c r="A166" s="1">
        <v>4.02033265E9</v>
      </c>
      <c r="B166" s="2" t="s">
        <v>18</v>
      </c>
      <c r="C166" s="2" t="str">
        <f t="shared" si="1"/>
        <v>Friday</v>
      </c>
      <c r="D166" s="1">
        <v>5563.0</v>
      </c>
      <c r="E166" s="1">
        <v>3.99000000953674</v>
      </c>
      <c r="F166" s="1">
        <v>3.99000000953674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1440.0</v>
      </c>
      <c r="P166" s="1">
        <v>3681.0</v>
      </c>
    </row>
    <row r="167">
      <c r="A167" s="1">
        <v>4.02033265E9</v>
      </c>
      <c r="B167" s="2" t="s">
        <v>28</v>
      </c>
      <c r="C167" s="2" t="str">
        <f t="shared" si="1"/>
        <v>Saturday</v>
      </c>
      <c r="D167" s="1">
        <v>5702.0</v>
      </c>
      <c r="E167" s="1">
        <v>4.09000015258789</v>
      </c>
      <c r="F167" s="1">
        <v>4.09000015258789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1440.0</v>
      </c>
      <c r="P167" s="1">
        <v>2980.0</v>
      </c>
    </row>
    <row r="168">
      <c r="A168" s="1">
        <v>4.02033265E9</v>
      </c>
      <c r="B168" s="2" t="s">
        <v>29</v>
      </c>
      <c r="C168" s="2" t="str">
        <f t="shared" si="1"/>
        <v>Tuesday</v>
      </c>
      <c r="D168" s="1">
        <v>5906.0</v>
      </c>
      <c r="E168" s="1">
        <v>4.23000001907349</v>
      </c>
      <c r="F168" s="1">
        <v>4.23000001907349</v>
      </c>
      <c r="G168" s="1">
        <v>0.0</v>
      </c>
      <c r="H168" s="1">
        <v>0.0</v>
      </c>
      <c r="I168" s="1">
        <v>0.159999996423721</v>
      </c>
      <c r="J168" s="1">
        <v>4.03999996185303</v>
      </c>
      <c r="K168" s="1">
        <v>0.0</v>
      </c>
      <c r="L168" s="1">
        <v>0.0</v>
      </c>
      <c r="M168" s="1">
        <v>10.0</v>
      </c>
      <c r="N168" s="1">
        <v>215.0</v>
      </c>
      <c r="O168" s="1">
        <v>874.0</v>
      </c>
      <c r="P168" s="1">
        <v>3016.0</v>
      </c>
    </row>
    <row r="169">
      <c r="A169" s="1">
        <v>4.02033265E9</v>
      </c>
      <c r="B169" s="2">
        <v>42433.0</v>
      </c>
      <c r="C169" s="2" t="str">
        <f t="shared" si="1"/>
        <v>Friday</v>
      </c>
      <c r="D169" s="1">
        <v>6107.0</v>
      </c>
      <c r="E169" s="1">
        <v>4.38000011444092</v>
      </c>
      <c r="F169" s="1">
        <v>4.38000011444092</v>
      </c>
      <c r="G169" s="1">
        <v>0.0</v>
      </c>
      <c r="H169" s="1">
        <v>0.0</v>
      </c>
      <c r="I169" s="1">
        <v>0.0</v>
      </c>
      <c r="J169" s="1">
        <v>4.3600001335144</v>
      </c>
      <c r="K169" s="1">
        <v>0.0</v>
      </c>
      <c r="L169" s="1">
        <v>0.0</v>
      </c>
      <c r="M169" s="1">
        <v>0.0</v>
      </c>
      <c r="N169" s="1">
        <v>265.0</v>
      </c>
      <c r="O169" s="1">
        <v>776.0</v>
      </c>
      <c r="P169" s="1">
        <v>3313.0</v>
      </c>
    </row>
    <row r="170">
      <c r="A170" s="1">
        <v>4.02033265E9</v>
      </c>
      <c r="B170" s="2" t="s">
        <v>30</v>
      </c>
      <c r="C170" s="2" t="str">
        <f t="shared" si="1"/>
        <v>Wednesday</v>
      </c>
      <c r="D170" s="1">
        <v>6309.0</v>
      </c>
      <c r="E170" s="1">
        <v>4.51999998092651</v>
      </c>
      <c r="F170" s="1">
        <v>4.51999998092651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1440.0</v>
      </c>
      <c r="P170" s="1">
        <v>3140.0</v>
      </c>
    </row>
    <row r="171">
      <c r="A171" s="1">
        <v>4.02033265E9</v>
      </c>
      <c r="B171" s="2">
        <v>42464.0</v>
      </c>
      <c r="C171" s="2" t="str">
        <f t="shared" si="1"/>
        <v>Monday</v>
      </c>
      <c r="D171" s="1">
        <v>6429.0</v>
      </c>
      <c r="E171" s="1">
        <v>4.59999990463257</v>
      </c>
      <c r="F171" s="1">
        <v>4.59999990463257</v>
      </c>
      <c r="G171" s="1">
        <v>0.0</v>
      </c>
      <c r="H171" s="1">
        <v>0.0</v>
      </c>
      <c r="I171" s="1">
        <v>0.949999988079071</v>
      </c>
      <c r="J171" s="1">
        <v>3.65000009536743</v>
      </c>
      <c r="K171" s="1">
        <v>0.0</v>
      </c>
      <c r="L171" s="1">
        <v>0.0</v>
      </c>
      <c r="M171" s="1">
        <v>28.0</v>
      </c>
      <c r="N171" s="1">
        <v>193.0</v>
      </c>
      <c r="O171" s="1">
        <v>741.0</v>
      </c>
      <c r="P171" s="1">
        <v>3118.0</v>
      </c>
    </row>
    <row r="172">
      <c r="A172" s="1">
        <v>4.02033265E9</v>
      </c>
      <c r="B172" s="2">
        <v>42555.0</v>
      </c>
      <c r="C172" s="2" t="str">
        <f t="shared" si="1"/>
        <v>Monday</v>
      </c>
      <c r="D172" s="1">
        <v>6581.0</v>
      </c>
      <c r="E172" s="1">
        <v>4.71999979019165</v>
      </c>
      <c r="F172" s="1">
        <v>4.71999979019165</v>
      </c>
      <c r="G172" s="1">
        <v>0.0</v>
      </c>
      <c r="H172" s="1">
        <v>0.0</v>
      </c>
      <c r="I172" s="1">
        <v>0.28999999165535</v>
      </c>
      <c r="J172" s="1">
        <v>4.3899998664856</v>
      </c>
      <c r="K172" s="1">
        <v>0.0</v>
      </c>
      <c r="L172" s="1">
        <v>0.0</v>
      </c>
      <c r="M172" s="1">
        <v>8.0</v>
      </c>
      <c r="N172" s="1">
        <v>241.0</v>
      </c>
      <c r="O172" s="1">
        <v>1191.0</v>
      </c>
      <c r="P172" s="1">
        <v>3032.0</v>
      </c>
    </row>
    <row r="173">
      <c r="A173" s="1">
        <v>4.02033265E9</v>
      </c>
      <c r="B173" s="2" t="s">
        <v>31</v>
      </c>
      <c r="C173" s="2" t="str">
        <f t="shared" si="1"/>
        <v>Tuesday</v>
      </c>
      <c r="D173" s="1">
        <v>6662.0</v>
      </c>
      <c r="E173" s="1">
        <v>4.78000020980835</v>
      </c>
      <c r="F173" s="1">
        <v>4.78000020980835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1440.0</v>
      </c>
      <c r="P173" s="1">
        <v>3162.0</v>
      </c>
    </row>
    <row r="174">
      <c r="A174" s="1">
        <v>4.02033265E9</v>
      </c>
      <c r="B174" s="2">
        <v>42494.0</v>
      </c>
      <c r="C174" s="2" t="str">
        <f t="shared" si="1"/>
        <v>Wednesday</v>
      </c>
      <c r="D174" s="1">
        <v>6880.0</v>
      </c>
      <c r="E174" s="1">
        <v>4.92999982833862</v>
      </c>
      <c r="F174" s="1">
        <v>4.92999982833862</v>
      </c>
      <c r="G174" s="1">
        <v>0.0</v>
      </c>
      <c r="H174" s="1">
        <v>0.5</v>
      </c>
      <c r="I174" s="1">
        <v>0.759999990463257</v>
      </c>
      <c r="J174" s="1">
        <v>3.65000009536743</v>
      </c>
      <c r="K174" s="1">
        <v>0.0</v>
      </c>
      <c r="L174" s="1">
        <v>7.0</v>
      </c>
      <c r="M174" s="1">
        <v>19.0</v>
      </c>
      <c r="N174" s="1">
        <v>165.0</v>
      </c>
      <c r="O174" s="1">
        <v>1249.0</v>
      </c>
      <c r="P174" s="1">
        <v>2966.0</v>
      </c>
    </row>
    <row r="175">
      <c r="A175" s="1">
        <v>4.02033265E9</v>
      </c>
      <c r="B175" s="2" t="s">
        <v>21</v>
      </c>
      <c r="C175" s="2" t="str">
        <f t="shared" si="1"/>
        <v>Sunday</v>
      </c>
      <c r="D175" s="1">
        <v>7144.0</v>
      </c>
      <c r="E175" s="1">
        <v>5.11999988555908</v>
      </c>
      <c r="F175" s="1">
        <v>5.11999988555908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1440.0</v>
      </c>
      <c r="P175" s="1">
        <v>3510.0</v>
      </c>
    </row>
    <row r="176">
      <c r="A176" s="1">
        <v>4.02033265E9</v>
      </c>
      <c r="B176" s="2" t="s">
        <v>20</v>
      </c>
      <c r="C176" s="2" t="str">
        <f t="shared" si="1"/>
        <v>Thursday</v>
      </c>
      <c r="D176" s="1">
        <v>7428.0</v>
      </c>
      <c r="E176" s="1">
        <v>5.32999992370605</v>
      </c>
      <c r="F176" s="1">
        <v>5.32999992370605</v>
      </c>
      <c r="G176" s="1">
        <v>0.0</v>
      </c>
      <c r="H176" s="1">
        <v>0.870000004768372</v>
      </c>
      <c r="I176" s="1">
        <v>0.920000016689301</v>
      </c>
      <c r="J176" s="1">
        <v>3.50999999046326</v>
      </c>
      <c r="K176" s="1">
        <v>0.0</v>
      </c>
      <c r="L176" s="1">
        <v>18.0</v>
      </c>
      <c r="M176" s="1">
        <v>33.0</v>
      </c>
      <c r="N176" s="1">
        <v>261.0</v>
      </c>
      <c r="O176" s="1">
        <v>860.0</v>
      </c>
      <c r="P176" s="1">
        <v>3439.0</v>
      </c>
    </row>
    <row r="177">
      <c r="A177" s="1">
        <v>4.02033265E9</v>
      </c>
      <c r="B177" s="2">
        <v>42525.0</v>
      </c>
      <c r="C177" s="2" t="str">
        <f t="shared" si="1"/>
        <v>Saturday</v>
      </c>
      <c r="D177" s="1">
        <v>7476.0</v>
      </c>
      <c r="E177" s="1">
        <v>5.3600001335144</v>
      </c>
      <c r="F177" s="1">
        <v>5.3600001335144</v>
      </c>
      <c r="G177" s="1">
        <v>0.0</v>
      </c>
      <c r="H177" s="1">
        <v>0.0</v>
      </c>
      <c r="I177" s="1">
        <v>0.0</v>
      </c>
      <c r="J177" s="1">
        <v>5.30999994277954</v>
      </c>
      <c r="K177" s="1">
        <v>0.0</v>
      </c>
      <c r="L177" s="1">
        <v>0.0</v>
      </c>
      <c r="M177" s="1">
        <v>0.0</v>
      </c>
      <c r="N177" s="1">
        <v>263.0</v>
      </c>
      <c r="O177" s="1">
        <v>920.0</v>
      </c>
      <c r="P177" s="1">
        <v>3253.0</v>
      </c>
    </row>
    <row r="178">
      <c r="A178" s="1">
        <v>4.02033265E9</v>
      </c>
      <c r="B178" s="2">
        <v>42617.0</v>
      </c>
      <c r="C178" s="2" t="str">
        <f t="shared" si="1"/>
        <v>Sunday</v>
      </c>
      <c r="D178" s="1">
        <v>7734.0</v>
      </c>
      <c r="E178" s="1">
        <v>5.55000019073486</v>
      </c>
      <c r="F178" s="1">
        <v>5.55000019073486</v>
      </c>
      <c r="G178" s="1">
        <v>0.0</v>
      </c>
      <c r="H178" s="1">
        <v>1.1599999666214</v>
      </c>
      <c r="I178" s="1">
        <v>0.490000009536743</v>
      </c>
      <c r="J178" s="1">
        <v>3.8199999332428</v>
      </c>
      <c r="K178" s="1">
        <v>0.0599999986588955</v>
      </c>
      <c r="L178" s="1">
        <v>20.0</v>
      </c>
      <c r="M178" s="1">
        <v>12.0</v>
      </c>
      <c r="N178" s="1">
        <v>223.0</v>
      </c>
      <c r="O178" s="1">
        <v>1185.0</v>
      </c>
      <c r="P178" s="1">
        <v>3264.0</v>
      </c>
    </row>
    <row r="179">
      <c r="A179" s="1">
        <v>4.02033265E9</v>
      </c>
      <c r="B179" s="2" t="s">
        <v>32</v>
      </c>
      <c r="C179" s="2" t="str">
        <f t="shared" si="1"/>
        <v>Monday</v>
      </c>
      <c r="D179" s="1">
        <v>8778.0</v>
      </c>
      <c r="E179" s="1">
        <v>6.28999996185303</v>
      </c>
      <c r="F179" s="1">
        <v>6.28999996185303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1440.0</v>
      </c>
      <c r="P179" s="1">
        <v>3348.0</v>
      </c>
    </row>
    <row r="180">
      <c r="A180" s="1">
        <v>4.02033265E9</v>
      </c>
      <c r="B180" s="2" t="s">
        <v>33</v>
      </c>
      <c r="C180" s="2" t="str">
        <f t="shared" si="1"/>
        <v>Thursday</v>
      </c>
      <c r="D180" s="1">
        <v>8940.0</v>
      </c>
      <c r="E180" s="1">
        <v>6.40999984741211</v>
      </c>
      <c r="F180" s="1">
        <v>6.40999984741211</v>
      </c>
      <c r="G180" s="1">
        <v>0.0</v>
      </c>
      <c r="H180" s="1">
        <v>0.0</v>
      </c>
      <c r="I180" s="1">
        <v>0.0</v>
      </c>
      <c r="J180" s="1">
        <v>0.610000014305115</v>
      </c>
      <c r="K180" s="1">
        <v>0.0399999991059303</v>
      </c>
      <c r="L180" s="1">
        <v>0.0</v>
      </c>
      <c r="M180" s="1">
        <v>0.0</v>
      </c>
      <c r="N180" s="1">
        <v>47.0</v>
      </c>
      <c r="O180" s="1">
        <v>986.0</v>
      </c>
      <c r="P180" s="1">
        <v>3706.0</v>
      </c>
    </row>
    <row r="181">
      <c r="A181" s="1">
        <v>4.02033265E9</v>
      </c>
      <c r="B181" s="2" t="s">
        <v>34</v>
      </c>
      <c r="C181" s="2" t="str">
        <f t="shared" si="1"/>
        <v>Sunday</v>
      </c>
      <c r="D181" s="1">
        <v>10330.0</v>
      </c>
      <c r="E181" s="1">
        <v>7.40999984741211</v>
      </c>
      <c r="F181" s="1">
        <v>7.40999984741211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1440.0</v>
      </c>
      <c r="P181" s="1">
        <v>3728.0</v>
      </c>
    </row>
    <row r="182">
      <c r="A182" s="1">
        <v>4.02033265E9</v>
      </c>
      <c r="B182" s="2">
        <v>42586.0</v>
      </c>
      <c r="C182" s="2" t="str">
        <f t="shared" si="1"/>
        <v>Thursday</v>
      </c>
      <c r="D182" s="1">
        <v>10480.0</v>
      </c>
      <c r="E182" s="1">
        <v>7.51000022888184</v>
      </c>
      <c r="F182" s="1">
        <v>7.51000022888184</v>
      </c>
      <c r="G182" s="1">
        <v>0.0</v>
      </c>
      <c r="H182" s="1">
        <v>0.409999996423721</v>
      </c>
      <c r="I182" s="1">
        <v>1.47000002861023</v>
      </c>
      <c r="J182" s="1">
        <v>5.01000022888184</v>
      </c>
      <c r="K182" s="1">
        <v>0.0399999991059303</v>
      </c>
      <c r="L182" s="1">
        <v>6.0</v>
      </c>
      <c r="M182" s="1">
        <v>37.0</v>
      </c>
      <c r="N182" s="1">
        <v>272.0</v>
      </c>
      <c r="O182" s="1">
        <v>1125.0</v>
      </c>
      <c r="P182" s="1">
        <v>4034.0</v>
      </c>
    </row>
    <row r="183">
      <c r="A183" s="1">
        <v>4.02033265E9</v>
      </c>
      <c r="B183" s="2" t="s">
        <v>35</v>
      </c>
      <c r="C183" s="2" t="str">
        <f t="shared" si="1"/>
        <v>Wednesday</v>
      </c>
      <c r="D183" s="1">
        <v>12483.0</v>
      </c>
      <c r="E183" s="1">
        <v>8.98999977111816</v>
      </c>
      <c r="F183" s="1">
        <v>8.98999977111816</v>
      </c>
      <c r="G183" s="1">
        <v>0.0</v>
      </c>
      <c r="H183" s="1">
        <v>1.45000004768372</v>
      </c>
      <c r="I183" s="1">
        <v>0.569999992847443</v>
      </c>
      <c r="J183" s="1">
        <v>6.90000009536743</v>
      </c>
      <c r="K183" s="1">
        <v>0.0</v>
      </c>
      <c r="L183" s="1">
        <v>25.0</v>
      </c>
      <c r="M183" s="1">
        <v>14.0</v>
      </c>
      <c r="N183" s="1">
        <v>309.0</v>
      </c>
      <c r="O183" s="1">
        <v>599.0</v>
      </c>
      <c r="P183" s="1">
        <v>3830.0</v>
      </c>
    </row>
    <row r="184">
      <c r="A184" s="1">
        <v>4.057192912E9</v>
      </c>
      <c r="B184" s="2">
        <v>42555.0</v>
      </c>
      <c r="C184" s="2" t="str">
        <f t="shared" si="1"/>
        <v>Monday</v>
      </c>
      <c r="D184" s="1">
        <v>4.0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1.0</v>
      </c>
      <c r="O184" s="1">
        <v>1439.0</v>
      </c>
      <c r="P184" s="1">
        <v>1778.0</v>
      </c>
    </row>
    <row r="185">
      <c r="A185" s="1">
        <v>4.057192912E9</v>
      </c>
      <c r="B185" s="2" t="s">
        <v>25</v>
      </c>
      <c r="C185" s="2" t="str">
        <f t="shared" si="1"/>
        <v>Thursday</v>
      </c>
      <c r="D185" s="1">
        <v>7.0</v>
      </c>
      <c r="E185" s="1">
        <v>0.00999999977648258</v>
      </c>
      <c r="F185" s="1">
        <v>0.00999999977648258</v>
      </c>
      <c r="G185" s="1">
        <v>0.0</v>
      </c>
      <c r="H185" s="1">
        <v>0.0</v>
      </c>
      <c r="I185" s="1">
        <v>0.0</v>
      </c>
      <c r="J185" s="1">
        <v>0.00999999977648258</v>
      </c>
      <c r="K185" s="1">
        <v>0.0</v>
      </c>
      <c r="L185" s="1">
        <v>0.0</v>
      </c>
      <c r="M185" s="1">
        <v>0.0</v>
      </c>
      <c r="N185" s="1">
        <v>1.0</v>
      </c>
      <c r="O185" s="1">
        <v>1439.0</v>
      </c>
      <c r="P185" s="1">
        <v>1787.0</v>
      </c>
    </row>
    <row r="186">
      <c r="A186" s="1">
        <v>4.057192912E9</v>
      </c>
      <c r="B186" s="2" t="s">
        <v>22</v>
      </c>
      <c r="C186" s="2" t="str">
        <f t="shared" si="1"/>
        <v>Monday</v>
      </c>
      <c r="D186" s="1">
        <v>8.0</v>
      </c>
      <c r="E186" s="1">
        <v>0.00999999977648258</v>
      </c>
      <c r="F186" s="1">
        <v>0.00999999977648258</v>
      </c>
      <c r="G186" s="1">
        <v>0.0</v>
      </c>
      <c r="H186" s="1">
        <v>0.0</v>
      </c>
      <c r="I186" s="1">
        <v>0.0</v>
      </c>
      <c r="J186" s="1">
        <v>0.00999999977648258</v>
      </c>
      <c r="K186" s="1">
        <v>0.0</v>
      </c>
      <c r="L186" s="1">
        <v>0.0</v>
      </c>
      <c r="M186" s="1">
        <v>0.0</v>
      </c>
      <c r="N186" s="1">
        <v>1.0</v>
      </c>
      <c r="O186" s="1">
        <v>1439.0</v>
      </c>
      <c r="P186" s="1">
        <v>1778.0</v>
      </c>
    </row>
    <row r="187">
      <c r="A187" s="1">
        <v>4.057192912E9</v>
      </c>
      <c r="B187" s="2">
        <v>42525.0</v>
      </c>
      <c r="C187" s="2" t="str">
        <f t="shared" si="1"/>
        <v>Saturday</v>
      </c>
      <c r="D187" s="1">
        <v>18.0</v>
      </c>
      <c r="E187" s="1">
        <v>0.00999999977648258</v>
      </c>
      <c r="F187" s="1">
        <v>0.00999999977648258</v>
      </c>
      <c r="G187" s="1">
        <v>0.0</v>
      </c>
      <c r="H187" s="1">
        <v>0.0</v>
      </c>
      <c r="I187" s="1">
        <v>0.0</v>
      </c>
      <c r="J187" s="1">
        <v>0.00999999977648258</v>
      </c>
      <c r="K187" s="1">
        <v>0.0</v>
      </c>
      <c r="L187" s="1">
        <v>0.0</v>
      </c>
      <c r="M187" s="1">
        <v>0.0</v>
      </c>
      <c r="N187" s="1">
        <v>2.0</v>
      </c>
      <c r="O187" s="1">
        <v>1438.0</v>
      </c>
      <c r="P187" s="1">
        <v>1780.0</v>
      </c>
    </row>
    <row r="188">
      <c r="A188" s="1">
        <v>4.057192912E9</v>
      </c>
      <c r="B188" s="2" t="s">
        <v>34</v>
      </c>
      <c r="C188" s="2" t="str">
        <f t="shared" si="1"/>
        <v>Sunday</v>
      </c>
      <c r="D188" s="1">
        <v>44.0</v>
      </c>
      <c r="E188" s="1">
        <v>0.0299999993294477</v>
      </c>
      <c r="F188" s="1">
        <v>0.0299999993294477</v>
      </c>
      <c r="G188" s="1">
        <v>0.0</v>
      </c>
      <c r="H188" s="1">
        <v>0.0</v>
      </c>
      <c r="I188" s="1">
        <v>0.0</v>
      </c>
      <c r="J188" s="1">
        <v>0.0299999993294477</v>
      </c>
      <c r="K188" s="1">
        <v>0.0</v>
      </c>
      <c r="L188" s="1">
        <v>0.0</v>
      </c>
      <c r="M188" s="1">
        <v>0.0</v>
      </c>
      <c r="N188" s="1">
        <v>2.0</v>
      </c>
      <c r="O188" s="1">
        <v>1438.0</v>
      </c>
      <c r="P188" s="1">
        <v>1782.0</v>
      </c>
    </row>
    <row r="189">
      <c r="A189" s="1">
        <v>4.057192912E9</v>
      </c>
      <c r="B189" s="2">
        <v>42708.0</v>
      </c>
      <c r="C189" s="2" t="str">
        <f t="shared" si="1"/>
        <v>Sunday</v>
      </c>
      <c r="D189" s="1">
        <v>187.0</v>
      </c>
      <c r="E189" s="1">
        <v>0.140000000596046</v>
      </c>
      <c r="F189" s="1">
        <v>0.140000000596046</v>
      </c>
      <c r="G189" s="1">
        <v>0.0</v>
      </c>
      <c r="H189" s="1">
        <v>0.0</v>
      </c>
      <c r="I189" s="1">
        <v>0.0</v>
      </c>
      <c r="J189" s="1">
        <v>0.140000000596046</v>
      </c>
      <c r="K189" s="1">
        <v>0.0</v>
      </c>
      <c r="L189" s="1">
        <v>0.0</v>
      </c>
      <c r="M189" s="1">
        <v>0.0</v>
      </c>
      <c r="N189" s="1">
        <v>11.0</v>
      </c>
      <c r="O189" s="1">
        <v>400.0</v>
      </c>
      <c r="P189" s="1">
        <v>538.0</v>
      </c>
    </row>
    <row r="190">
      <c r="A190" s="1">
        <v>4.057192912E9</v>
      </c>
      <c r="B190" s="2" t="s">
        <v>24</v>
      </c>
      <c r="C190" s="2" t="str">
        <f t="shared" si="1"/>
        <v>Friday</v>
      </c>
      <c r="D190" s="1">
        <v>949.0</v>
      </c>
      <c r="E190" s="1">
        <v>0.689999997615814</v>
      </c>
      <c r="F190" s="1">
        <v>0.689999997615814</v>
      </c>
      <c r="G190" s="1">
        <v>0.0</v>
      </c>
      <c r="H190" s="1">
        <v>0.0</v>
      </c>
      <c r="I190" s="1">
        <v>0.0</v>
      </c>
      <c r="J190" s="1">
        <v>0.689999997615814</v>
      </c>
      <c r="K190" s="1">
        <v>0.0</v>
      </c>
      <c r="L190" s="1">
        <v>0.0</v>
      </c>
      <c r="M190" s="1">
        <v>0.0</v>
      </c>
      <c r="N190" s="1">
        <v>34.0</v>
      </c>
      <c r="O190" s="1">
        <v>1406.0</v>
      </c>
      <c r="P190" s="1">
        <v>1870.0</v>
      </c>
    </row>
    <row r="191">
      <c r="A191" s="1">
        <v>4.057192912E9</v>
      </c>
      <c r="B191" s="2">
        <v>42617.0</v>
      </c>
      <c r="C191" s="2" t="str">
        <f t="shared" si="1"/>
        <v>Sunday</v>
      </c>
      <c r="D191" s="1">
        <v>1650.0</v>
      </c>
      <c r="E191" s="1">
        <v>1.21000003814697</v>
      </c>
      <c r="F191" s="1">
        <v>1.21000003814697</v>
      </c>
      <c r="G191" s="1">
        <v>0.0</v>
      </c>
      <c r="H191" s="1">
        <v>0.0</v>
      </c>
      <c r="I191" s="1">
        <v>0.0</v>
      </c>
      <c r="J191" s="1">
        <v>1.21000003814697</v>
      </c>
      <c r="K191" s="1">
        <v>0.0</v>
      </c>
      <c r="L191" s="1">
        <v>0.0</v>
      </c>
      <c r="M191" s="1">
        <v>0.0</v>
      </c>
      <c r="N191" s="1">
        <v>60.0</v>
      </c>
      <c r="O191" s="1">
        <v>1380.0</v>
      </c>
      <c r="P191" s="1">
        <v>1952.0</v>
      </c>
    </row>
    <row r="192">
      <c r="A192" s="1">
        <v>4.057192912E9</v>
      </c>
      <c r="B192" s="2" t="s">
        <v>35</v>
      </c>
      <c r="C192" s="2" t="str">
        <f t="shared" si="1"/>
        <v>Wednesday</v>
      </c>
      <c r="D192" s="1">
        <v>2139.0</v>
      </c>
      <c r="E192" s="1">
        <v>1.55999994277954</v>
      </c>
      <c r="F192" s="1">
        <v>1.55999994277954</v>
      </c>
      <c r="G192" s="1">
        <v>0.0</v>
      </c>
      <c r="H192" s="1">
        <v>0.0</v>
      </c>
      <c r="I192" s="1">
        <v>1.29999995231628</v>
      </c>
      <c r="J192" s="1">
        <v>0.259999990463257</v>
      </c>
      <c r="K192" s="1">
        <v>0.0</v>
      </c>
      <c r="L192" s="1">
        <v>0.0</v>
      </c>
      <c r="M192" s="1">
        <v>28.0</v>
      </c>
      <c r="N192" s="1">
        <v>15.0</v>
      </c>
      <c r="O192" s="1">
        <v>1397.0</v>
      </c>
      <c r="P192" s="1">
        <v>1935.0</v>
      </c>
    </row>
    <row r="193">
      <c r="A193" s="1">
        <v>4.057192912E9</v>
      </c>
      <c r="B193" s="2" t="s">
        <v>21</v>
      </c>
      <c r="C193" s="2" t="str">
        <f t="shared" si="1"/>
        <v>Sunday</v>
      </c>
      <c r="D193" s="1">
        <v>2275.0</v>
      </c>
      <c r="E193" s="1">
        <v>1.67999994754791</v>
      </c>
      <c r="F193" s="1">
        <v>1.67999994754791</v>
      </c>
      <c r="G193" s="1">
        <v>0.0</v>
      </c>
      <c r="H193" s="1">
        <v>0.0</v>
      </c>
      <c r="I193" s="1">
        <v>0.0</v>
      </c>
      <c r="J193" s="1">
        <v>1.6599999666214</v>
      </c>
      <c r="K193" s="1">
        <v>0.0</v>
      </c>
      <c r="L193" s="1">
        <v>0.0</v>
      </c>
      <c r="M193" s="1">
        <v>0.0</v>
      </c>
      <c r="N193" s="1">
        <v>86.0</v>
      </c>
      <c r="O193" s="1">
        <v>1354.0</v>
      </c>
      <c r="P193" s="1">
        <v>2005.0</v>
      </c>
    </row>
    <row r="194">
      <c r="A194" s="1">
        <v>4.057192912E9</v>
      </c>
      <c r="B194" s="2" t="s">
        <v>32</v>
      </c>
      <c r="C194" s="2" t="str">
        <f t="shared" si="1"/>
        <v>Monday</v>
      </c>
      <c r="D194" s="1">
        <v>2660.0</v>
      </c>
      <c r="E194" s="1">
        <v>1.94000005722046</v>
      </c>
      <c r="F194" s="1">
        <v>1.94000005722046</v>
      </c>
      <c r="G194" s="1">
        <v>0.0</v>
      </c>
      <c r="H194" s="1">
        <v>0.0</v>
      </c>
      <c r="I194" s="1">
        <v>0.0</v>
      </c>
      <c r="J194" s="1">
        <v>1.94000005722046</v>
      </c>
      <c r="K194" s="1">
        <v>0.0</v>
      </c>
      <c r="L194" s="1">
        <v>0.0</v>
      </c>
      <c r="M194" s="1">
        <v>0.0</v>
      </c>
      <c r="N194" s="1">
        <v>46.0</v>
      </c>
      <c r="O194" s="1">
        <v>1394.0</v>
      </c>
      <c r="P194" s="1">
        <v>1978.0</v>
      </c>
    </row>
    <row r="195">
      <c r="A195" s="1">
        <v>4.057192912E9</v>
      </c>
      <c r="B195" s="2">
        <v>42647.0</v>
      </c>
      <c r="C195" s="2" t="str">
        <f t="shared" si="1"/>
        <v>Tuesday</v>
      </c>
      <c r="D195" s="1">
        <v>3434.0</v>
      </c>
      <c r="E195" s="1">
        <v>2.50999999046326</v>
      </c>
      <c r="F195" s="1">
        <v>2.50999999046326</v>
      </c>
      <c r="G195" s="1">
        <v>0.0</v>
      </c>
      <c r="H195" s="1">
        <v>0.0700000002980232</v>
      </c>
      <c r="I195" s="1">
        <v>0.300000011920929</v>
      </c>
      <c r="J195" s="1">
        <v>2.14000010490417</v>
      </c>
      <c r="K195" s="1">
        <v>0.0</v>
      </c>
      <c r="L195" s="1">
        <v>1.0</v>
      </c>
      <c r="M195" s="1">
        <v>7.0</v>
      </c>
      <c r="N195" s="1">
        <v>108.0</v>
      </c>
      <c r="O195" s="1">
        <v>1324.0</v>
      </c>
      <c r="P195" s="1">
        <v>2101.0</v>
      </c>
    </row>
    <row r="196">
      <c r="A196" s="1">
        <v>4.057192912E9</v>
      </c>
      <c r="B196" s="2" t="s">
        <v>19</v>
      </c>
      <c r="C196" s="2" t="str">
        <f t="shared" si="1"/>
        <v>Tuesday</v>
      </c>
      <c r="D196" s="1">
        <v>5137.0</v>
      </c>
      <c r="E196" s="1">
        <v>3.75999999046326</v>
      </c>
      <c r="F196" s="1">
        <v>3.75999999046326</v>
      </c>
      <c r="G196" s="1">
        <v>0.0</v>
      </c>
      <c r="H196" s="1">
        <v>0.0</v>
      </c>
      <c r="I196" s="1">
        <v>0.0</v>
      </c>
      <c r="J196" s="1">
        <v>3.75999999046326</v>
      </c>
      <c r="K196" s="1">
        <v>0.0</v>
      </c>
      <c r="L196" s="1">
        <v>0.0</v>
      </c>
      <c r="M196" s="1">
        <v>0.0</v>
      </c>
      <c r="N196" s="1">
        <v>160.0</v>
      </c>
      <c r="O196" s="1">
        <v>1280.0</v>
      </c>
      <c r="P196" s="1">
        <v>2293.0</v>
      </c>
    </row>
    <row r="197">
      <c r="A197" s="1">
        <v>4.057192912E9</v>
      </c>
      <c r="B197" s="2" t="s">
        <v>17</v>
      </c>
      <c r="C197" s="2" t="str">
        <f t="shared" si="1"/>
        <v>Wednesday</v>
      </c>
      <c r="D197" s="1">
        <v>5419.0</v>
      </c>
      <c r="E197" s="1">
        <v>4.0</v>
      </c>
      <c r="F197" s="1">
        <v>4.57000017166138</v>
      </c>
      <c r="G197" s="1">
        <v>0.055842999368906</v>
      </c>
      <c r="H197" s="1">
        <v>0.0</v>
      </c>
      <c r="I197" s="1">
        <v>0.0</v>
      </c>
      <c r="J197" s="1">
        <v>3.91000008583069</v>
      </c>
      <c r="K197" s="1">
        <v>0.0599999986588955</v>
      </c>
      <c r="L197" s="1">
        <v>0.0</v>
      </c>
      <c r="M197" s="1">
        <v>0.0</v>
      </c>
      <c r="N197" s="1">
        <v>145.0</v>
      </c>
      <c r="O197" s="1">
        <v>1295.0</v>
      </c>
      <c r="P197" s="1">
        <v>2259.0</v>
      </c>
    </row>
    <row r="198">
      <c r="A198" s="1">
        <v>4.057192912E9</v>
      </c>
      <c r="B198" s="2" t="s">
        <v>31</v>
      </c>
      <c r="C198" s="2" t="str">
        <f t="shared" si="1"/>
        <v>Tuesday</v>
      </c>
      <c r="D198" s="1">
        <v>5561.0</v>
      </c>
      <c r="E198" s="1">
        <v>4.19000005722046</v>
      </c>
      <c r="F198" s="1">
        <v>4.19000005722046</v>
      </c>
      <c r="G198" s="1">
        <v>0.0</v>
      </c>
      <c r="H198" s="1">
        <v>0.0</v>
      </c>
      <c r="I198" s="1">
        <v>0.0</v>
      </c>
      <c r="J198" s="1">
        <v>4.07000017166138</v>
      </c>
      <c r="K198" s="1">
        <v>0.0</v>
      </c>
      <c r="L198" s="1">
        <v>0.0</v>
      </c>
      <c r="M198" s="1">
        <v>0.0</v>
      </c>
      <c r="N198" s="1">
        <v>169.0</v>
      </c>
      <c r="O198" s="1">
        <v>1271.0</v>
      </c>
      <c r="P198" s="1">
        <v>2296.0</v>
      </c>
    </row>
    <row r="199">
      <c r="A199" s="1">
        <v>4.057192912E9</v>
      </c>
      <c r="B199" s="2">
        <v>42678.0</v>
      </c>
      <c r="C199" s="2" t="str">
        <f t="shared" si="1"/>
        <v>Friday</v>
      </c>
      <c r="D199" s="1">
        <v>6801.0</v>
      </c>
      <c r="E199" s="1">
        <v>4.98000001907349</v>
      </c>
      <c r="F199" s="1">
        <v>4.98000001907349</v>
      </c>
      <c r="G199" s="1">
        <v>0.0</v>
      </c>
      <c r="H199" s="1">
        <v>0.0</v>
      </c>
      <c r="I199" s="1">
        <v>0.0</v>
      </c>
      <c r="J199" s="1">
        <v>4.96999979019165</v>
      </c>
      <c r="K199" s="1">
        <v>0.0</v>
      </c>
      <c r="L199" s="1">
        <v>0.0</v>
      </c>
      <c r="M199" s="1">
        <v>0.0</v>
      </c>
      <c r="N199" s="1">
        <v>193.0</v>
      </c>
      <c r="O199" s="1">
        <v>1247.0</v>
      </c>
      <c r="P199" s="1">
        <v>2393.0</v>
      </c>
    </row>
    <row r="200">
      <c r="A200" s="1">
        <v>4.057192912E9</v>
      </c>
      <c r="B200" s="2" t="s">
        <v>30</v>
      </c>
      <c r="C200" s="2" t="str">
        <f t="shared" si="1"/>
        <v>Wednesday</v>
      </c>
      <c r="D200" s="1">
        <v>7239.0</v>
      </c>
      <c r="E200" s="1">
        <v>5.34000015258789</v>
      </c>
      <c r="F200" s="1">
        <v>5.34000015258789</v>
      </c>
      <c r="G200" s="1">
        <v>0.0</v>
      </c>
      <c r="H200" s="1">
        <v>0.550000011920929</v>
      </c>
      <c r="I200" s="1">
        <v>0.360000014305115</v>
      </c>
      <c r="J200" s="1">
        <v>4.38000011444092</v>
      </c>
      <c r="K200" s="1">
        <v>0.0</v>
      </c>
      <c r="L200" s="1">
        <v>7.0</v>
      </c>
      <c r="M200" s="1">
        <v>7.0</v>
      </c>
      <c r="N200" s="1">
        <v>190.0</v>
      </c>
      <c r="O200" s="1">
        <v>1236.0</v>
      </c>
      <c r="P200" s="1">
        <v>2484.0</v>
      </c>
    </row>
    <row r="201">
      <c r="A201" s="1">
        <v>4.057192912E9</v>
      </c>
      <c r="B201" s="2">
        <v>42586.0</v>
      </c>
      <c r="C201" s="2" t="str">
        <f t="shared" si="1"/>
        <v>Thursday</v>
      </c>
      <c r="D201" s="1">
        <v>8426.0</v>
      </c>
      <c r="E201" s="1">
        <v>6.15999984741211</v>
      </c>
      <c r="F201" s="1">
        <v>6.15999984741211</v>
      </c>
      <c r="G201" s="1">
        <v>0.0</v>
      </c>
      <c r="H201" s="1">
        <v>0.129999995231628</v>
      </c>
      <c r="I201" s="1">
        <v>5.48999977111816</v>
      </c>
      <c r="J201" s="1">
        <v>0.540000021457672</v>
      </c>
      <c r="K201" s="1">
        <v>0.0</v>
      </c>
      <c r="L201" s="1">
        <v>2.0</v>
      </c>
      <c r="M201" s="1">
        <v>120.0</v>
      </c>
      <c r="N201" s="1">
        <v>25.0</v>
      </c>
      <c r="O201" s="1">
        <v>1293.0</v>
      </c>
      <c r="P201" s="1">
        <v>2360.0</v>
      </c>
    </row>
    <row r="202">
      <c r="A202" s="1">
        <v>4.057192912E9</v>
      </c>
      <c r="B202" s="2" t="s">
        <v>26</v>
      </c>
      <c r="C202" s="2" t="str">
        <f t="shared" si="1"/>
        <v>Monday</v>
      </c>
      <c r="D202" s="1">
        <v>8433.0</v>
      </c>
      <c r="E202" s="1">
        <v>6.23000001907349</v>
      </c>
      <c r="F202" s="1">
        <v>6.23000001907349</v>
      </c>
      <c r="G202" s="1">
        <v>0.0</v>
      </c>
      <c r="H202" s="1">
        <v>2.45000004768372</v>
      </c>
      <c r="I202" s="1">
        <v>0.330000013113022</v>
      </c>
      <c r="J202" s="1">
        <v>3.44000005722046</v>
      </c>
      <c r="K202" s="1">
        <v>0.0</v>
      </c>
      <c r="L202" s="1">
        <v>30.0</v>
      </c>
      <c r="M202" s="1">
        <v>7.0</v>
      </c>
      <c r="N202" s="1">
        <v>135.0</v>
      </c>
      <c r="O202" s="1">
        <v>1268.0</v>
      </c>
      <c r="P202" s="1">
        <v>2453.0</v>
      </c>
    </row>
    <row r="203">
      <c r="A203" s="1">
        <v>4.319703577E9</v>
      </c>
      <c r="B203" s="2" t="s">
        <v>19</v>
      </c>
      <c r="C203" s="2" t="str">
        <f t="shared" si="1"/>
        <v>Tuesday</v>
      </c>
      <c r="D203" s="1">
        <v>5643.0</v>
      </c>
      <c r="E203" s="1">
        <v>3.78999996185303</v>
      </c>
      <c r="F203" s="1">
        <v>3.78999996185303</v>
      </c>
      <c r="G203" s="1">
        <v>0.0</v>
      </c>
      <c r="H203" s="1">
        <v>0.230000004172325</v>
      </c>
      <c r="I203" s="1">
        <v>0.330000013113022</v>
      </c>
      <c r="J203" s="1">
        <v>3.23000001907349</v>
      </c>
      <c r="K203" s="1">
        <v>0.0</v>
      </c>
      <c r="L203" s="1">
        <v>3.0</v>
      </c>
      <c r="M203" s="1">
        <v>8.0</v>
      </c>
      <c r="N203" s="1">
        <v>199.0</v>
      </c>
      <c r="O203" s="1">
        <v>683.0</v>
      </c>
      <c r="P203" s="1">
        <v>1958.0</v>
      </c>
    </row>
    <row r="204">
      <c r="A204" s="1">
        <v>4.319703577E9</v>
      </c>
      <c r="B204" s="2">
        <v>42586.0</v>
      </c>
      <c r="C204" s="2" t="str">
        <f t="shared" si="1"/>
        <v>Thursday</v>
      </c>
      <c r="D204" s="1">
        <v>6544.0</v>
      </c>
      <c r="E204" s="1">
        <v>4.40999984741211</v>
      </c>
      <c r="F204" s="1">
        <v>4.40999984741211</v>
      </c>
      <c r="G204" s="1">
        <v>0.0</v>
      </c>
      <c r="H204" s="1">
        <v>0.28999999165535</v>
      </c>
      <c r="I204" s="1">
        <v>0.259999990463257</v>
      </c>
      <c r="J204" s="1">
        <v>3.85999989509583</v>
      </c>
      <c r="K204" s="1">
        <v>0.0</v>
      </c>
      <c r="L204" s="1">
        <v>4.0</v>
      </c>
      <c r="M204" s="1">
        <v>6.0</v>
      </c>
      <c r="N204" s="1">
        <v>276.0</v>
      </c>
      <c r="O204" s="1">
        <v>1132.0</v>
      </c>
      <c r="P204" s="1">
        <v>2069.0</v>
      </c>
    </row>
    <row r="205">
      <c r="A205" s="1">
        <v>4.319703577E9</v>
      </c>
      <c r="B205" s="2" t="s">
        <v>20</v>
      </c>
      <c r="C205" s="2" t="str">
        <f t="shared" si="1"/>
        <v>Thursday</v>
      </c>
      <c r="D205" s="1">
        <v>8144.0</v>
      </c>
      <c r="E205" s="1">
        <v>5.46000003814697</v>
      </c>
      <c r="F205" s="1">
        <v>5.46000003814697</v>
      </c>
      <c r="G205" s="1">
        <v>0.0</v>
      </c>
      <c r="H205" s="1">
        <v>0.25</v>
      </c>
      <c r="I205" s="1">
        <v>0.610000014305115</v>
      </c>
      <c r="J205" s="1">
        <v>4.6100001335144</v>
      </c>
      <c r="K205" s="1">
        <v>0.0</v>
      </c>
      <c r="L205" s="1">
        <v>4.0</v>
      </c>
      <c r="M205" s="1">
        <v>17.0</v>
      </c>
      <c r="N205" s="1">
        <v>247.0</v>
      </c>
      <c r="O205" s="1">
        <v>1125.0</v>
      </c>
      <c r="P205" s="1">
        <v>2129.0</v>
      </c>
    </row>
    <row r="206">
      <c r="A206" s="1">
        <v>4.319703577E9</v>
      </c>
      <c r="B206" s="2">
        <v>42433.0</v>
      </c>
      <c r="C206" s="2" t="str">
        <f t="shared" si="1"/>
        <v>Friday</v>
      </c>
      <c r="D206" s="1">
        <v>8223.0</v>
      </c>
      <c r="E206" s="1">
        <v>5.51999998092651</v>
      </c>
      <c r="F206" s="1">
        <v>5.51999998092651</v>
      </c>
      <c r="G206" s="1">
        <v>0.0</v>
      </c>
      <c r="H206" s="1">
        <v>0.800000011920929</v>
      </c>
      <c r="I206" s="1">
        <v>1.50999999046326</v>
      </c>
      <c r="J206" s="1">
        <v>3.21000003814697</v>
      </c>
      <c r="K206" s="1">
        <v>0.0</v>
      </c>
      <c r="L206" s="1">
        <v>12.0</v>
      </c>
      <c r="M206" s="1">
        <v>37.0</v>
      </c>
      <c r="N206" s="1">
        <v>257.0</v>
      </c>
      <c r="O206" s="1">
        <v>551.0</v>
      </c>
      <c r="P206" s="1">
        <v>2178.0</v>
      </c>
    </row>
    <row r="207">
      <c r="A207" s="1">
        <v>4.319703577E9</v>
      </c>
      <c r="B207" s="2">
        <v>42494.0</v>
      </c>
      <c r="C207" s="2" t="str">
        <f t="shared" si="1"/>
        <v>Wednesday</v>
      </c>
      <c r="D207" s="1">
        <v>8359.0</v>
      </c>
      <c r="E207" s="1">
        <v>5.63000011444092</v>
      </c>
      <c r="F207" s="1">
        <v>5.63000011444092</v>
      </c>
      <c r="G207" s="1">
        <v>0.0</v>
      </c>
      <c r="H207" s="1">
        <v>0.230000004172325</v>
      </c>
      <c r="I207" s="1">
        <v>0.529999971389771</v>
      </c>
      <c r="J207" s="1">
        <v>4.86999988555908</v>
      </c>
      <c r="K207" s="1">
        <v>0.0</v>
      </c>
      <c r="L207" s="1">
        <v>3.0</v>
      </c>
      <c r="M207" s="1">
        <v>14.0</v>
      </c>
      <c r="N207" s="1">
        <v>311.0</v>
      </c>
      <c r="O207" s="1">
        <v>638.0</v>
      </c>
      <c r="P207" s="1">
        <v>2201.0</v>
      </c>
    </row>
    <row r="208">
      <c r="A208" s="1">
        <v>4.319703577E9</v>
      </c>
      <c r="B208" s="2">
        <v>42404.0</v>
      </c>
      <c r="C208" s="2" t="str">
        <f t="shared" si="1"/>
        <v>Thursday</v>
      </c>
      <c r="D208" s="1">
        <v>8405.0</v>
      </c>
      <c r="E208" s="1">
        <v>5.65999984741211</v>
      </c>
      <c r="F208" s="1">
        <v>5.65999984741211</v>
      </c>
      <c r="G208" s="1">
        <v>0.0</v>
      </c>
      <c r="H208" s="1">
        <v>1.12999999523163</v>
      </c>
      <c r="I208" s="1">
        <v>0.189999997615814</v>
      </c>
      <c r="J208" s="1">
        <v>4.34000015258789</v>
      </c>
      <c r="K208" s="1">
        <v>0.0</v>
      </c>
      <c r="L208" s="1">
        <v>15.0</v>
      </c>
      <c r="M208" s="1">
        <v>4.0</v>
      </c>
      <c r="N208" s="1">
        <v>257.0</v>
      </c>
      <c r="O208" s="1">
        <v>621.0</v>
      </c>
      <c r="P208" s="1">
        <v>2154.0</v>
      </c>
    </row>
    <row r="209">
      <c r="A209" s="1">
        <v>4.319703577E9</v>
      </c>
      <c r="B209" s="2" t="s">
        <v>17</v>
      </c>
      <c r="C209" s="2" t="str">
        <f t="shared" si="1"/>
        <v>Wednesday</v>
      </c>
      <c r="D209" s="1">
        <v>9043.0</v>
      </c>
      <c r="E209" s="1">
        <v>6.07000017166138</v>
      </c>
      <c r="F209" s="1">
        <v>6.07000017166138</v>
      </c>
      <c r="G209" s="1">
        <v>0.0</v>
      </c>
      <c r="H209" s="1">
        <v>0.25</v>
      </c>
      <c r="I209" s="1">
        <v>0.430000007152557</v>
      </c>
      <c r="J209" s="1">
        <v>5.36999988555908</v>
      </c>
      <c r="K209" s="1">
        <v>0.0</v>
      </c>
      <c r="L209" s="1">
        <v>4.0</v>
      </c>
      <c r="M209" s="1">
        <v>12.0</v>
      </c>
      <c r="N209" s="1">
        <v>244.0</v>
      </c>
      <c r="O209" s="1">
        <v>702.0</v>
      </c>
      <c r="P209" s="1">
        <v>2141.0</v>
      </c>
    </row>
    <row r="210">
      <c r="A210" s="1">
        <v>4.319703577E9</v>
      </c>
      <c r="B210" s="2">
        <v>42555.0</v>
      </c>
      <c r="C210" s="2" t="str">
        <f t="shared" si="1"/>
        <v>Monday</v>
      </c>
      <c r="D210" s="1">
        <v>9130.0</v>
      </c>
      <c r="E210" s="1">
        <v>6.15000009536743</v>
      </c>
      <c r="F210" s="1">
        <v>6.15000009536743</v>
      </c>
      <c r="G210" s="1">
        <v>0.0</v>
      </c>
      <c r="H210" s="1">
        <v>0.5</v>
      </c>
      <c r="I210" s="1">
        <v>0.379999995231628</v>
      </c>
      <c r="J210" s="1">
        <v>5.26999998092651</v>
      </c>
      <c r="K210" s="1">
        <v>0.0</v>
      </c>
      <c r="L210" s="1">
        <v>7.0</v>
      </c>
      <c r="M210" s="1">
        <v>11.0</v>
      </c>
      <c r="N210" s="1">
        <v>304.0</v>
      </c>
      <c r="O210" s="1">
        <v>668.0</v>
      </c>
      <c r="P210" s="1">
        <v>2236.0</v>
      </c>
    </row>
    <row r="211">
      <c r="A211" s="1">
        <v>4.319703577E9</v>
      </c>
      <c r="B211" s="2">
        <v>42373.0</v>
      </c>
      <c r="C211" s="2" t="str">
        <f t="shared" si="1"/>
        <v>Monday</v>
      </c>
      <c r="D211" s="1">
        <v>9343.0</v>
      </c>
      <c r="E211" s="1">
        <v>6.26999998092651</v>
      </c>
      <c r="F211" s="1">
        <v>6.26999998092651</v>
      </c>
      <c r="G211" s="1">
        <v>0.0</v>
      </c>
      <c r="H211" s="1">
        <v>0.959999978542328</v>
      </c>
      <c r="I211" s="1">
        <v>0.850000023841858</v>
      </c>
      <c r="J211" s="1">
        <v>4.46000003814697</v>
      </c>
      <c r="K211" s="1">
        <v>0.0</v>
      </c>
      <c r="L211" s="1">
        <v>14.0</v>
      </c>
      <c r="M211" s="1">
        <v>20.0</v>
      </c>
      <c r="N211" s="1">
        <v>268.0</v>
      </c>
      <c r="O211" s="1">
        <v>654.0</v>
      </c>
      <c r="P211" s="1">
        <v>2216.0</v>
      </c>
    </row>
    <row r="212">
      <c r="A212" s="1">
        <v>4.319703577E9</v>
      </c>
      <c r="B212" s="2">
        <v>42464.0</v>
      </c>
      <c r="C212" s="2" t="str">
        <f t="shared" si="1"/>
        <v>Monday</v>
      </c>
      <c r="D212" s="1">
        <v>10067.0</v>
      </c>
      <c r="E212" s="1">
        <v>6.76000022888184</v>
      </c>
      <c r="F212" s="1">
        <v>6.76000022888184</v>
      </c>
      <c r="G212" s="1">
        <v>0.0</v>
      </c>
      <c r="H212" s="1">
        <v>0.360000014305115</v>
      </c>
      <c r="I212" s="1">
        <v>1.41999995708466</v>
      </c>
      <c r="J212" s="1">
        <v>4.96999979019165</v>
      </c>
      <c r="K212" s="1">
        <v>0.0</v>
      </c>
      <c r="L212" s="1">
        <v>5.0</v>
      </c>
      <c r="M212" s="1">
        <v>39.0</v>
      </c>
      <c r="N212" s="1">
        <v>313.0</v>
      </c>
      <c r="O212" s="1">
        <v>578.0</v>
      </c>
      <c r="P212" s="1">
        <v>2308.0</v>
      </c>
    </row>
    <row r="213">
      <c r="A213" s="1">
        <v>4.319703577E9</v>
      </c>
      <c r="B213" s="2">
        <v>42525.0</v>
      </c>
      <c r="C213" s="2" t="str">
        <f t="shared" si="1"/>
        <v>Saturday</v>
      </c>
      <c r="D213" s="1">
        <v>10946.0</v>
      </c>
      <c r="E213" s="1">
        <v>7.34999990463257</v>
      </c>
      <c r="F213" s="1">
        <v>7.34999990463257</v>
      </c>
      <c r="G213" s="1">
        <v>0.0</v>
      </c>
      <c r="H213" s="1">
        <v>0.540000021457672</v>
      </c>
      <c r="I213" s="1">
        <v>2.08999991416931</v>
      </c>
      <c r="J213" s="1">
        <v>4.71999979019165</v>
      </c>
      <c r="K213" s="1">
        <v>0.0</v>
      </c>
      <c r="L213" s="1">
        <v>8.0</v>
      </c>
      <c r="M213" s="1">
        <v>51.0</v>
      </c>
      <c r="N213" s="1">
        <v>308.0</v>
      </c>
      <c r="O213" s="1">
        <v>569.0</v>
      </c>
      <c r="P213" s="1">
        <v>2341.0</v>
      </c>
    </row>
    <row r="214">
      <c r="A214" s="1">
        <v>4.445114986E9</v>
      </c>
      <c r="B214" s="2">
        <v>42708.0</v>
      </c>
      <c r="C214" s="2" t="str">
        <f t="shared" si="1"/>
        <v>Sunday</v>
      </c>
      <c r="D214" s="1">
        <v>278.0</v>
      </c>
      <c r="E214" s="1">
        <v>0.189999997615814</v>
      </c>
      <c r="F214" s="1">
        <v>0.189999997615814</v>
      </c>
      <c r="G214" s="1">
        <v>0.0</v>
      </c>
      <c r="H214" s="1">
        <v>0.0</v>
      </c>
      <c r="I214" s="1">
        <v>0.0</v>
      </c>
      <c r="J214" s="1">
        <v>0.189999997615814</v>
      </c>
      <c r="K214" s="1">
        <v>0.0</v>
      </c>
      <c r="L214" s="1">
        <v>0.0</v>
      </c>
      <c r="M214" s="1">
        <v>0.0</v>
      </c>
      <c r="N214" s="1">
        <v>20.0</v>
      </c>
      <c r="O214" s="1">
        <v>253.0</v>
      </c>
      <c r="P214" s="1">
        <v>745.0</v>
      </c>
    </row>
    <row r="215">
      <c r="A215" s="1">
        <v>4.445114986E9</v>
      </c>
      <c r="B215" s="2" t="s">
        <v>19</v>
      </c>
      <c r="C215" s="2" t="str">
        <f t="shared" si="1"/>
        <v>Tuesday</v>
      </c>
      <c r="D215" s="1">
        <v>2303.0</v>
      </c>
      <c r="E215" s="1">
        <v>1.54999995231628</v>
      </c>
      <c r="F215" s="1">
        <v>1.54999995231628</v>
      </c>
      <c r="G215" s="1">
        <v>0.0</v>
      </c>
      <c r="H215" s="1">
        <v>0.0</v>
      </c>
      <c r="I215" s="1">
        <v>0.0</v>
      </c>
      <c r="J215" s="1">
        <v>1.54999995231628</v>
      </c>
      <c r="K215" s="1">
        <v>0.0</v>
      </c>
      <c r="L215" s="1">
        <v>0.0</v>
      </c>
      <c r="M215" s="1">
        <v>0.0</v>
      </c>
      <c r="N215" s="1">
        <v>155.0</v>
      </c>
      <c r="O215" s="1">
        <v>807.0</v>
      </c>
      <c r="P215" s="1">
        <v>2010.0</v>
      </c>
    </row>
    <row r="216">
      <c r="A216" s="1">
        <v>4.445114986E9</v>
      </c>
      <c r="B216" s="2">
        <v>42464.0</v>
      </c>
      <c r="C216" s="2" t="str">
        <f t="shared" si="1"/>
        <v>Monday</v>
      </c>
      <c r="D216" s="1">
        <v>2422.0</v>
      </c>
      <c r="E216" s="1">
        <v>1.62999999523163</v>
      </c>
      <c r="F216" s="1">
        <v>1.62999999523163</v>
      </c>
      <c r="G216" s="1">
        <v>0.0</v>
      </c>
      <c r="H216" s="1">
        <v>0.0</v>
      </c>
      <c r="I216" s="1">
        <v>0.0</v>
      </c>
      <c r="J216" s="1">
        <v>1.62999999523163</v>
      </c>
      <c r="K216" s="1">
        <v>0.0</v>
      </c>
      <c r="L216" s="1">
        <v>0.0</v>
      </c>
      <c r="M216" s="1">
        <v>0.0</v>
      </c>
      <c r="N216" s="1">
        <v>110.0</v>
      </c>
      <c r="O216" s="1">
        <v>1330.0</v>
      </c>
      <c r="P216" s="1">
        <v>1935.0</v>
      </c>
    </row>
    <row r="217">
      <c r="A217" s="1">
        <v>4.445114986E9</v>
      </c>
      <c r="B217" s="2" t="s">
        <v>17</v>
      </c>
      <c r="C217" s="2" t="str">
        <f t="shared" si="1"/>
        <v>Wednesday</v>
      </c>
      <c r="D217" s="1">
        <v>2600.0</v>
      </c>
      <c r="E217" s="1">
        <v>1.74000000953674</v>
      </c>
      <c r="F217" s="1">
        <v>1.74000000953674</v>
      </c>
      <c r="G217" s="1">
        <v>0.0</v>
      </c>
      <c r="H217" s="1">
        <v>0.0</v>
      </c>
      <c r="I217" s="1">
        <v>0.0</v>
      </c>
      <c r="J217" s="1">
        <v>1.74000000953674</v>
      </c>
      <c r="K217" s="1">
        <v>0.0</v>
      </c>
      <c r="L217" s="1">
        <v>0.0</v>
      </c>
      <c r="M217" s="1">
        <v>0.0</v>
      </c>
      <c r="N217" s="1">
        <v>163.0</v>
      </c>
      <c r="O217" s="1">
        <v>1277.0</v>
      </c>
      <c r="P217" s="1">
        <v>2032.0</v>
      </c>
    </row>
    <row r="218">
      <c r="A218" s="1">
        <v>4.445114986E9</v>
      </c>
      <c r="B218" s="2">
        <v>42433.0</v>
      </c>
      <c r="C218" s="2" t="str">
        <f t="shared" si="1"/>
        <v>Friday</v>
      </c>
      <c r="D218" s="1">
        <v>3146.0</v>
      </c>
      <c r="E218" s="1">
        <v>2.10999989509583</v>
      </c>
      <c r="F218" s="1">
        <v>2.10999989509583</v>
      </c>
      <c r="G218" s="1">
        <v>0.0</v>
      </c>
      <c r="H218" s="1">
        <v>0.0</v>
      </c>
      <c r="I218" s="1">
        <v>0.0</v>
      </c>
      <c r="J218" s="1">
        <v>2.10999989509583</v>
      </c>
      <c r="K218" s="1">
        <v>0.0</v>
      </c>
      <c r="L218" s="1">
        <v>0.0</v>
      </c>
      <c r="M218" s="1">
        <v>0.0</v>
      </c>
      <c r="N218" s="1">
        <v>171.0</v>
      </c>
      <c r="O218" s="1">
        <v>1269.0</v>
      </c>
      <c r="P218" s="1">
        <v>2058.0</v>
      </c>
    </row>
    <row r="219">
      <c r="A219" s="1">
        <v>4.445114986E9</v>
      </c>
      <c r="B219" s="2">
        <v>42373.0</v>
      </c>
      <c r="C219" s="2" t="str">
        <f t="shared" si="1"/>
        <v>Monday</v>
      </c>
      <c r="D219" s="1">
        <v>3271.0</v>
      </c>
      <c r="E219" s="1">
        <v>2.19000005722046</v>
      </c>
      <c r="F219" s="1">
        <v>2.19000005722046</v>
      </c>
      <c r="G219" s="1">
        <v>0.0</v>
      </c>
      <c r="H219" s="1">
        <v>0.0</v>
      </c>
      <c r="I219" s="1">
        <v>0.0</v>
      </c>
      <c r="J219" s="1">
        <v>2.19000005722046</v>
      </c>
      <c r="K219" s="1">
        <v>0.0</v>
      </c>
      <c r="L219" s="1">
        <v>0.0</v>
      </c>
      <c r="M219" s="1">
        <v>0.0</v>
      </c>
      <c r="N219" s="1">
        <v>205.0</v>
      </c>
      <c r="O219" s="1">
        <v>898.0</v>
      </c>
      <c r="P219" s="1">
        <v>2133.0</v>
      </c>
    </row>
    <row r="220">
      <c r="A220" s="1">
        <v>4.445114986E9</v>
      </c>
      <c r="B220" s="2">
        <v>42617.0</v>
      </c>
      <c r="C220" s="2" t="str">
        <f t="shared" si="1"/>
        <v>Sunday</v>
      </c>
      <c r="D220" s="1">
        <v>4195.0</v>
      </c>
      <c r="E220" s="1">
        <v>2.80999994277954</v>
      </c>
      <c r="F220" s="1">
        <v>2.80999994277954</v>
      </c>
      <c r="G220" s="1">
        <v>0.0</v>
      </c>
      <c r="H220" s="1">
        <v>0.0</v>
      </c>
      <c r="I220" s="1">
        <v>0.0</v>
      </c>
      <c r="J220" s="1">
        <v>2.80999994277954</v>
      </c>
      <c r="K220" s="1">
        <v>0.0</v>
      </c>
      <c r="L220" s="1">
        <v>0.0</v>
      </c>
      <c r="M220" s="1">
        <v>0.0</v>
      </c>
      <c r="N220" s="1">
        <v>239.0</v>
      </c>
      <c r="O220" s="1">
        <v>758.0</v>
      </c>
      <c r="P220" s="1">
        <v>2210.0</v>
      </c>
    </row>
    <row r="221">
      <c r="A221" s="1">
        <v>4.445114986E9</v>
      </c>
      <c r="B221" s="2">
        <v>42494.0</v>
      </c>
      <c r="C221" s="2" t="str">
        <f t="shared" si="1"/>
        <v>Wednesday</v>
      </c>
      <c r="D221" s="1">
        <v>4239.0</v>
      </c>
      <c r="E221" s="1">
        <v>2.83999991416931</v>
      </c>
      <c r="F221" s="1">
        <v>2.83999991416931</v>
      </c>
      <c r="G221" s="1">
        <v>0.0</v>
      </c>
      <c r="H221" s="1">
        <v>0.0599999986588955</v>
      </c>
      <c r="I221" s="1">
        <v>0.239999994635582</v>
      </c>
      <c r="J221" s="1">
        <v>2.52999997138977</v>
      </c>
      <c r="K221" s="1">
        <v>0.0</v>
      </c>
      <c r="L221" s="1">
        <v>1.0</v>
      </c>
      <c r="M221" s="1">
        <v>6.0</v>
      </c>
      <c r="N221" s="1">
        <v>235.0</v>
      </c>
      <c r="O221" s="1">
        <v>702.0</v>
      </c>
      <c r="P221" s="1">
        <v>2217.0</v>
      </c>
    </row>
    <row r="222">
      <c r="A222" s="1">
        <v>4.445114986E9</v>
      </c>
      <c r="B222" s="2" t="s">
        <v>20</v>
      </c>
      <c r="C222" s="2" t="str">
        <f t="shared" si="1"/>
        <v>Thursday</v>
      </c>
      <c r="D222" s="1">
        <v>4804.0</v>
      </c>
      <c r="E222" s="1">
        <v>3.22000002861023</v>
      </c>
      <c r="F222" s="1">
        <v>3.22000002861023</v>
      </c>
      <c r="G222" s="1">
        <v>0.0</v>
      </c>
      <c r="H222" s="1">
        <v>0.0</v>
      </c>
      <c r="I222" s="1">
        <v>0.0</v>
      </c>
      <c r="J222" s="1">
        <v>3.22000002861023</v>
      </c>
      <c r="K222" s="1">
        <v>0.0</v>
      </c>
      <c r="L222" s="1">
        <v>0.0</v>
      </c>
      <c r="M222" s="1">
        <v>0.0</v>
      </c>
      <c r="N222" s="1">
        <v>238.0</v>
      </c>
      <c r="O222" s="1">
        <v>786.0</v>
      </c>
      <c r="P222" s="1">
        <v>2227.0</v>
      </c>
    </row>
    <row r="223">
      <c r="A223" s="1">
        <v>4.445114986E9</v>
      </c>
      <c r="B223" s="2">
        <v>42404.0</v>
      </c>
      <c r="C223" s="2" t="str">
        <f t="shared" si="1"/>
        <v>Thursday</v>
      </c>
      <c r="D223" s="1">
        <v>5406.0</v>
      </c>
      <c r="E223" s="1">
        <v>3.63000011444092</v>
      </c>
      <c r="F223" s="1">
        <v>3.63000011444092</v>
      </c>
      <c r="G223" s="1">
        <v>0.0</v>
      </c>
      <c r="H223" s="1">
        <v>0.0</v>
      </c>
      <c r="I223" s="1">
        <v>0.0</v>
      </c>
      <c r="J223" s="1">
        <v>3.60999989509583</v>
      </c>
      <c r="K223" s="1">
        <v>0.0</v>
      </c>
      <c r="L223" s="1">
        <v>0.0</v>
      </c>
      <c r="M223" s="1">
        <v>0.0</v>
      </c>
      <c r="N223" s="1">
        <v>273.0</v>
      </c>
      <c r="O223" s="1">
        <v>672.0</v>
      </c>
      <c r="P223" s="1">
        <v>2317.0</v>
      </c>
    </row>
    <row r="224">
      <c r="A224" s="1">
        <v>4.445114986E9</v>
      </c>
      <c r="B224" s="2">
        <v>42586.0</v>
      </c>
      <c r="C224" s="2" t="str">
        <f t="shared" si="1"/>
        <v>Thursday</v>
      </c>
      <c r="D224" s="1">
        <v>5543.0</v>
      </c>
      <c r="E224" s="1">
        <v>3.72000002861023</v>
      </c>
      <c r="F224" s="1">
        <v>3.72000002861023</v>
      </c>
      <c r="G224" s="1">
        <v>0.0</v>
      </c>
      <c r="H224" s="1">
        <v>0.0</v>
      </c>
      <c r="I224" s="1">
        <v>0.0</v>
      </c>
      <c r="J224" s="1">
        <v>3.72000002861023</v>
      </c>
      <c r="K224" s="1">
        <v>0.0</v>
      </c>
      <c r="L224" s="1">
        <v>0.0</v>
      </c>
      <c r="M224" s="1">
        <v>0.0</v>
      </c>
      <c r="N224" s="1">
        <v>266.0</v>
      </c>
      <c r="O224" s="1">
        <v>941.0</v>
      </c>
      <c r="P224" s="1">
        <v>2303.0</v>
      </c>
    </row>
    <row r="225">
      <c r="A225" s="1">
        <v>4.445114986E9</v>
      </c>
      <c r="B225" s="2">
        <v>42678.0</v>
      </c>
      <c r="C225" s="2" t="str">
        <f t="shared" si="1"/>
        <v>Friday</v>
      </c>
      <c r="D225" s="1">
        <v>5986.0</v>
      </c>
      <c r="E225" s="1">
        <v>4.13000011444092</v>
      </c>
      <c r="F225" s="1">
        <v>4.13000011444092</v>
      </c>
      <c r="G225" s="1">
        <v>0.0</v>
      </c>
      <c r="H225" s="1">
        <v>1.95000004768372</v>
      </c>
      <c r="I225" s="1">
        <v>0.230000004172325</v>
      </c>
      <c r="J225" s="1">
        <v>1.95000004768372</v>
      </c>
      <c r="K225" s="1">
        <v>0.0</v>
      </c>
      <c r="L225" s="1">
        <v>23.0</v>
      </c>
      <c r="M225" s="1">
        <v>5.0</v>
      </c>
      <c r="N225" s="1">
        <v>195.0</v>
      </c>
      <c r="O225" s="1">
        <v>789.0</v>
      </c>
      <c r="P225" s="1">
        <v>2297.0</v>
      </c>
    </row>
    <row r="226">
      <c r="A226" s="1">
        <v>4.445114986E9</v>
      </c>
      <c r="B226" s="2">
        <v>42647.0</v>
      </c>
      <c r="C226" s="2" t="str">
        <f t="shared" si="1"/>
        <v>Tuesday</v>
      </c>
      <c r="D226" s="1">
        <v>6625.0</v>
      </c>
      <c r="E226" s="1">
        <v>4.44999980926514</v>
      </c>
      <c r="F226" s="1">
        <v>4.44999980926514</v>
      </c>
      <c r="G226" s="1">
        <v>0.0</v>
      </c>
      <c r="H226" s="1">
        <v>0.0</v>
      </c>
      <c r="I226" s="1">
        <v>0.0</v>
      </c>
      <c r="J226" s="1">
        <v>4.44999980926514</v>
      </c>
      <c r="K226" s="1">
        <v>0.0</v>
      </c>
      <c r="L226" s="1">
        <v>0.0</v>
      </c>
      <c r="M226" s="1">
        <v>0.0</v>
      </c>
      <c r="N226" s="1">
        <v>316.0</v>
      </c>
      <c r="O226" s="1">
        <v>755.0</v>
      </c>
      <c r="P226" s="1">
        <v>2424.0</v>
      </c>
    </row>
    <row r="227">
      <c r="A227" s="1">
        <v>4.445114986E9</v>
      </c>
      <c r="B227" s="2">
        <v>42555.0</v>
      </c>
      <c r="C227" s="2" t="str">
        <f t="shared" si="1"/>
        <v>Monday</v>
      </c>
      <c r="D227" s="1">
        <v>6667.0</v>
      </c>
      <c r="E227" s="1">
        <v>4.6100001335144</v>
      </c>
      <c r="F227" s="1">
        <v>4.6100001335144</v>
      </c>
      <c r="G227" s="1">
        <v>0.0</v>
      </c>
      <c r="H227" s="1">
        <v>2.01999998092651</v>
      </c>
      <c r="I227" s="1">
        <v>0.0500000007450581</v>
      </c>
      <c r="J227" s="1">
        <v>2.54999995231628</v>
      </c>
      <c r="K227" s="1">
        <v>0.0</v>
      </c>
      <c r="L227" s="1">
        <v>24.0</v>
      </c>
      <c r="M227" s="1">
        <v>1.0</v>
      </c>
      <c r="N227" s="1">
        <v>208.0</v>
      </c>
      <c r="O227" s="1">
        <v>939.0</v>
      </c>
      <c r="P227" s="1">
        <v>2335.0</v>
      </c>
    </row>
    <row r="228">
      <c r="A228" s="1">
        <v>4.445114986E9</v>
      </c>
      <c r="B228" s="2">
        <v>42525.0</v>
      </c>
      <c r="C228" s="2" t="str">
        <f t="shared" si="1"/>
        <v>Saturday</v>
      </c>
      <c r="D228" s="1">
        <v>6911.0</v>
      </c>
      <c r="E228" s="1">
        <v>4.78000020980835</v>
      </c>
      <c r="F228" s="1">
        <v>4.78000020980835</v>
      </c>
      <c r="G228" s="1">
        <v>0.0</v>
      </c>
      <c r="H228" s="1">
        <v>2.3199999332428</v>
      </c>
      <c r="I228" s="1">
        <v>0.100000001490116</v>
      </c>
      <c r="J228" s="1">
        <v>2.35999989509583</v>
      </c>
      <c r="K228" s="1">
        <v>0.0</v>
      </c>
      <c r="L228" s="1">
        <v>28.0</v>
      </c>
      <c r="M228" s="1">
        <v>2.0</v>
      </c>
      <c r="N228" s="1">
        <v>215.0</v>
      </c>
      <c r="O228" s="1">
        <v>745.0</v>
      </c>
      <c r="P228" s="1">
        <v>2374.0</v>
      </c>
    </row>
    <row r="229">
      <c r="A229" s="1">
        <v>4.558609924E9</v>
      </c>
      <c r="B229" s="2">
        <v>42708.0</v>
      </c>
      <c r="C229" s="2" t="str">
        <f t="shared" si="1"/>
        <v>Sunday</v>
      </c>
      <c r="D229" s="1">
        <v>1260.0</v>
      </c>
      <c r="E229" s="1">
        <v>0.829999983310699</v>
      </c>
      <c r="F229" s="1">
        <v>0.829999983310699</v>
      </c>
      <c r="G229" s="1">
        <v>0.0</v>
      </c>
      <c r="H229" s="1">
        <v>0.0</v>
      </c>
      <c r="I229" s="1">
        <v>0.0</v>
      </c>
      <c r="J229" s="1">
        <v>0.819999992847443</v>
      </c>
      <c r="K229" s="1">
        <v>0.0</v>
      </c>
      <c r="L229" s="1">
        <v>0.0</v>
      </c>
      <c r="M229" s="1">
        <v>0.0</v>
      </c>
      <c r="N229" s="1">
        <v>76.0</v>
      </c>
      <c r="O229" s="1">
        <v>555.0</v>
      </c>
      <c r="P229" s="1">
        <v>722.0</v>
      </c>
    </row>
    <row r="230">
      <c r="A230" s="1">
        <v>4.558609924E9</v>
      </c>
      <c r="B230" s="2">
        <v>42404.0</v>
      </c>
      <c r="C230" s="2" t="str">
        <f t="shared" si="1"/>
        <v>Thursday</v>
      </c>
      <c r="D230" s="1">
        <v>3183.0</v>
      </c>
      <c r="E230" s="1">
        <v>2.09999990463257</v>
      </c>
      <c r="F230" s="1">
        <v>2.09999990463257</v>
      </c>
      <c r="G230" s="1">
        <v>0.0</v>
      </c>
      <c r="H230" s="1">
        <v>0.0</v>
      </c>
      <c r="I230" s="1">
        <v>0.0</v>
      </c>
      <c r="J230" s="1">
        <v>2.09999990463257</v>
      </c>
      <c r="K230" s="1">
        <v>0.0</v>
      </c>
      <c r="L230" s="1">
        <v>0.0</v>
      </c>
      <c r="M230" s="1">
        <v>0.0</v>
      </c>
      <c r="N230" s="1">
        <v>173.0</v>
      </c>
      <c r="O230" s="1">
        <v>1180.0</v>
      </c>
      <c r="P230" s="1">
        <v>1680.0</v>
      </c>
    </row>
    <row r="231">
      <c r="A231" s="1">
        <v>4.558609924E9</v>
      </c>
      <c r="B231" s="2">
        <v>42586.0</v>
      </c>
      <c r="C231" s="2" t="str">
        <f t="shared" si="1"/>
        <v>Thursday</v>
      </c>
      <c r="D231" s="1">
        <v>4195.0</v>
      </c>
      <c r="E231" s="1">
        <v>2.76999998092651</v>
      </c>
      <c r="F231" s="1">
        <v>2.76999998092651</v>
      </c>
      <c r="G231" s="1">
        <v>0.0</v>
      </c>
      <c r="H231" s="1">
        <v>0.0</v>
      </c>
      <c r="I231" s="1">
        <v>0.0</v>
      </c>
      <c r="J231" s="1">
        <v>2.76999998092651</v>
      </c>
      <c r="K231" s="1">
        <v>0.0</v>
      </c>
      <c r="L231" s="1">
        <v>0.0</v>
      </c>
      <c r="M231" s="1">
        <v>0.0</v>
      </c>
      <c r="N231" s="1">
        <v>241.0</v>
      </c>
      <c r="O231" s="1">
        <v>1199.0</v>
      </c>
      <c r="P231" s="1">
        <v>1778.0</v>
      </c>
    </row>
    <row r="232">
      <c r="A232" s="1">
        <v>4.558609924E9</v>
      </c>
      <c r="B232" s="2">
        <v>42373.0</v>
      </c>
      <c r="C232" s="2" t="str">
        <f t="shared" si="1"/>
        <v>Monday</v>
      </c>
      <c r="D232" s="1">
        <v>5336.0</v>
      </c>
      <c r="E232" s="1">
        <v>3.52999997138977</v>
      </c>
      <c r="F232" s="1">
        <v>3.52999997138977</v>
      </c>
      <c r="G232" s="1">
        <v>0.0</v>
      </c>
      <c r="H232" s="1">
        <v>0.0</v>
      </c>
      <c r="I232" s="1">
        <v>0.0</v>
      </c>
      <c r="J232" s="1">
        <v>3.52999997138977</v>
      </c>
      <c r="K232" s="1">
        <v>0.0</v>
      </c>
      <c r="L232" s="1">
        <v>0.0</v>
      </c>
      <c r="M232" s="1">
        <v>0.0</v>
      </c>
      <c r="N232" s="1">
        <v>258.0</v>
      </c>
      <c r="O232" s="1">
        <v>1182.0</v>
      </c>
      <c r="P232" s="1">
        <v>1902.0</v>
      </c>
    </row>
    <row r="233">
      <c r="A233" s="1">
        <v>4.558609924E9</v>
      </c>
      <c r="B233" s="2">
        <v>42617.0</v>
      </c>
      <c r="C233" s="2" t="str">
        <f t="shared" si="1"/>
        <v>Sunday</v>
      </c>
      <c r="D233" s="1">
        <v>5512.0</v>
      </c>
      <c r="E233" s="1">
        <v>3.64000010490417</v>
      </c>
      <c r="F233" s="1">
        <v>3.64000010490417</v>
      </c>
      <c r="G233" s="1">
        <v>0.0</v>
      </c>
      <c r="H233" s="1">
        <v>0.0</v>
      </c>
      <c r="I233" s="1">
        <v>0.0</v>
      </c>
      <c r="J233" s="1">
        <v>3.64000010490417</v>
      </c>
      <c r="K233" s="1">
        <v>0.0</v>
      </c>
      <c r="L233" s="1">
        <v>0.0</v>
      </c>
      <c r="M233" s="1">
        <v>0.0</v>
      </c>
      <c r="N233" s="1">
        <v>276.0</v>
      </c>
      <c r="O233" s="1">
        <v>1164.0</v>
      </c>
      <c r="P233" s="1">
        <v>1882.0</v>
      </c>
    </row>
    <row r="234">
      <c r="A234" s="1">
        <v>4.558609924E9</v>
      </c>
      <c r="B234" s="2">
        <v>42525.0</v>
      </c>
      <c r="C234" s="2" t="str">
        <f t="shared" si="1"/>
        <v>Saturday</v>
      </c>
      <c r="D234" s="1">
        <v>5668.0</v>
      </c>
      <c r="E234" s="1">
        <v>3.75</v>
      </c>
      <c r="F234" s="1">
        <v>3.75</v>
      </c>
      <c r="G234" s="1">
        <v>0.0</v>
      </c>
      <c r="H234" s="1">
        <v>0.0</v>
      </c>
      <c r="I234" s="1">
        <v>0.0</v>
      </c>
      <c r="J234" s="1">
        <v>3.75</v>
      </c>
      <c r="K234" s="1">
        <v>0.0</v>
      </c>
      <c r="L234" s="1">
        <v>0.0</v>
      </c>
      <c r="M234" s="1">
        <v>0.0</v>
      </c>
      <c r="N234" s="1">
        <v>259.0</v>
      </c>
      <c r="O234" s="1">
        <v>1181.0</v>
      </c>
      <c r="P234" s="1">
        <v>1853.0</v>
      </c>
    </row>
    <row r="235">
      <c r="A235" s="1">
        <v>4.558609924E9</v>
      </c>
      <c r="B235" s="2">
        <v>42433.0</v>
      </c>
      <c r="C235" s="2" t="str">
        <f t="shared" si="1"/>
        <v>Friday</v>
      </c>
      <c r="D235" s="1">
        <v>6176.0</v>
      </c>
      <c r="E235" s="1">
        <v>4.07999992370605</v>
      </c>
      <c r="F235" s="1">
        <v>4.07999992370605</v>
      </c>
      <c r="G235" s="1">
        <v>0.0</v>
      </c>
      <c r="H235" s="1">
        <v>0.0700000002980232</v>
      </c>
      <c r="I235" s="1">
        <v>0.259999990463257</v>
      </c>
      <c r="J235" s="1">
        <v>3.75</v>
      </c>
      <c r="K235" s="1">
        <v>0.0</v>
      </c>
      <c r="L235" s="1">
        <v>1.0</v>
      </c>
      <c r="M235" s="1">
        <v>7.0</v>
      </c>
      <c r="N235" s="1">
        <v>269.0</v>
      </c>
      <c r="O235" s="1">
        <v>886.0</v>
      </c>
      <c r="P235" s="1">
        <v>1901.0</v>
      </c>
    </row>
    <row r="236">
      <c r="A236" s="1">
        <v>4.558609924E9</v>
      </c>
      <c r="B236" s="2">
        <v>42647.0</v>
      </c>
      <c r="C236" s="2" t="str">
        <f t="shared" si="1"/>
        <v>Tuesday</v>
      </c>
      <c r="D236" s="1">
        <v>6263.0</v>
      </c>
      <c r="E236" s="1">
        <v>4.1399998664856</v>
      </c>
      <c r="F236" s="1">
        <v>4.1399998664856</v>
      </c>
      <c r="G236" s="1">
        <v>0.0</v>
      </c>
      <c r="H236" s="1">
        <v>0.0</v>
      </c>
      <c r="I236" s="1">
        <v>0.0</v>
      </c>
      <c r="J236" s="1">
        <v>4.13000011444092</v>
      </c>
      <c r="K236" s="1">
        <v>0.0</v>
      </c>
      <c r="L236" s="1">
        <v>0.0</v>
      </c>
      <c r="M236" s="1">
        <v>0.0</v>
      </c>
      <c r="N236" s="1">
        <v>290.0</v>
      </c>
      <c r="O236" s="1">
        <v>1150.0</v>
      </c>
      <c r="P236" s="1">
        <v>1906.0</v>
      </c>
    </row>
    <row r="237">
      <c r="A237" s="1">
        <v>4.558609924E9</v>
      </c>
      <c r="B237" s="2">
        <v>42494.0</v>
      </c>
      <c r="C237" s="2" t="str">
        <f t="shared" si="1"/>
        <v>Wednesday</v>
      </c>
      <c r="D237" s="1">
        <v>6799.0</v>
      </c>
      <c r="E237" s="1">
        <v>4.48999977111816</v>
      </c>
      <c r="F237" s="1">
        <v>4.48999977111816</v>
      </c>
      <c r="G237" s="1">
        <v>0.0</v>
      </c>
      <c r="H237" s="1">
        <v>1.5900000333786</v>
      </c>
      <c r="I237" s="1">
        <v>0.860000014305115</v>
      </c>
      <c r="J237" s="1">
        <v>2.03999996185303</v>
      </c>
      <c r="K237" s="1">
        <v>0.0</v>
      </c>
      <c r="L237" s="1">
        <v>24.0</v>
      </c>
      <c r="M237" s="1">
        <v>14.0</v>
      </c>
      <c r="N237" s="1">
        <v>185.0</v>
      </c>
      <c r="O237" s="1">
        <v>1217.0</v>
      </c>
      <c r="P237" s="1">
        <v>1876.0</v>
      </c>
    </row>
    <row r="238">
      <c r="A238" s="1">
        <v>4.558609924E9</v>
      </c>
      <c r="B238" s="2">
        <v>42555.0</v>
      </c>
      <c r="C238" s="2" t="str">
        <f t="shared" si="1"/>
        <v>Monday</v>
      </c>
      <c r="D238" s="1">
        <v>7998.0</v>
      </c>
      <c r="E238" s="1">
        <v>5.28999996185303</v>
      </c>
      <c r="F238" s="1">
        <v>5.28999996185303</v>
      </c>
      <c r="G238" s="1">
        <v>0.0</v>
      </c>
      <c r="H238" s="1">
        <v>0.509999990463257</v>
      </c>
      <c r="I238" s="1">
        <v>0.25</v>
      </c>
      <c r="J238" s="1">
        <v>4.53000020980835</v>
      </c>
      <c r="K238" s="1">
        <v>0.0</v>
      </c>
      <c r="L238" s="1">
        <v>27.0</v>
      </c>
      <c r="M238" s="1">
        <v>12.0</v>
      </c>
      <c r="N238" s="1">
        <v>296.0</v>
      </c>
      <c r="O238" s="1">
        <v>1105.0</v>
      </c>
      <c r="P238" s="1">
        <v>2235.0</v>
      </c>
    </row>
    <row r="239">
      <c r="A239" s="1">
        <v>4.558609924E9</v>
      </c>
      <c r="B239" s="2">
        <v>42464.0</v>
      </c>
      <c r="C239" s="2" t="str">
        <f t="shared" si="1"/>
        <v>Monday</v>
      </c>
      <c r="D239" s="1">
        <v>8205.0</v>
      </c>
      <c r="E239" s="1">
        <v>5.42000007629395</v>
      </c>
      <c r="F239" s="1">
        <v>5.42000007629395</v>
      </c>
      <c r="G239" s="1">
        <v>0.0</v>
      </c>
      <c r="H239" s="1">
        <v>0.0</v>
      </c>
      <c r="I239" s="1">
        <v>0.0</v>
      </c>
      <c r="J239" s="1">
        <v>5.42000007629395</v>
      </c>
      <c r="K239" s="1">
        <v>0.0</v>
      </c>
      <c r="L239" s="1">
        <v>0.0</v>
      </c>
      <c r="M239" s="1">
        <v>0.0</v>
      </c>
      <c r="N239" s="1">
        <v>367.0</v>
      </c>
      <c r="O239" s="1">
        <v>1073.0</v>
      </c>
      <c r="P239" s="1">
        <v>2078.0</v>
      </c>
    </row>
    <row r="240">
      <c r="A240" s="1">
        <v>4.558609924E9</v>
      </c>
      <c r="B240" s="2">
        <v>42678.0</v>
      </c>
      <c r="C240" s="2" t="str">
        <f t="shared" si="1"/>
        <v>Friday</v>
      </c>
      <c r="D240" s="1">
        <v>8828.0</v>
      </c>
      <c r="E240" s="1">
        <v>5.84000015258789</v>
      </c>
      <c r="F240" s="1">
        <v>5.84000015258789</v>
      </c>
      <c r="G240" s="1">
        <v>0.0</v>
      </c>
      <c r="H240" s="1">
        <v>0.0</v>
      </c>
      <c r="I240" s="1">
        <v>0.0</v>
      </c>
      <c r="J240" s="1">
        <v>5.84000015258789</v>
      </c>
      <c r="K240" s="1">
        <v>0.0</v>
      </c>
      <c r="L240" s="1">
        <v>0.0</v>
      </c>
      <c r="M240" s="1">
        <v>0.0</v>
      </c>
      <c r="N240" s="1">
        <v>308.0</v>
      </c>
      <c r="O240" s="1">
        <v>1132.0</v>
      </c>
      <c r="P240" s="1">
        <v>2149.0</v>
      </c>
    </row>
    <row r="241">
      <c r="A241" s="1">
        <v>4.702921684E9</v>
      </c>
      <c r="B241" s="2">
        <v>42678.0</v>
      </c>
      <c r="C241" s="2" t="str">
        <f t="shared" si="1"/>
        <v>Friday</v>
      </c>
      <c r="D241" s="1">
        <v>6499.0</v>
      </c>
      <c r="E241" s="1">
        <v>5.26999998092651</v>
      </c>
      <c r="F241" s="1">
        <v>5.26999998092651</v>
      </c>
      <c r="G241" s="1">
        <v>0.0</v>
      </c>
      <c r="H241" s="1">
        <v>0.0</v>
      </c>
      <c r="I241" s="1">
        <v>0.0</v>
      </c>
      <c r="J241" s="1">
        <v>5.26999998092651</v>
      </c>
      <c r="K241" s="1">
        <v>0.0</v>
      </c>
      <c r="L241" s="1">
        <v>0.0</v>
      </c>
      <c r="M241" s="1">
        <v>0.0</v>
      </c>
      <c r="N241" s="1">
        <v>207.0</v>
      </c>
      <c r="O241" s="1">
        <v>809.0</v>
      </c>
      <c r="P241" s="1">
        <v>2677.0</v>
      </c>
    </row>
    <row r="242">
      <c r="A242" s="1">
        <v>4.702921684E9</v>
      </c>
      <c r="B242" s="2" t="s">
        <v>19</v>
      </c>
      <c r="C242" s="2" t="str">
        <f t="shared" si="1"/>
        <v>Tuesday</v>
      </c>
      <c r="D242" s="1">
        <v>6506.0</v>
      </c>
      <c r="E242" s="1">
        <v>5.28000020980835</v>
      </c>
      <c r="F242" s="1">
        <v>5.28000020980835</v>
      </c>
      <c r="G242" s="1">
        <v>0.0</v>
      </c>
      <c r="H242" s="1">
        <v>0.330000013113022</v>
      </c>
      <c r="I242" s="1">
        <v>0.270000010728836</v>
      </c>
      <c r="J242" s="1">
        <v>4.67000007629395</v>
      </c>
      <c r="K242" s="1">
        <v>0.0</v>
      </c>
      <c r="L242" s="1">
        <v>4.0</v>
      </c>
      <c r="M242" s="1">
        <v>5.0</v>
      </c>
      <c r="N242" s="1">
        <v>241.0</v>
      </c>
      <c r="O242" s="1">
        <v>760.0</v>
      </c>
      <c r="P242" s="1">
        <v>2886.0</v>
      </c>
    </row>
    <row r="243">
      <c r="A243" s="1">
        <v>4.702921684E9</v>
      </c>
      <c r="B243" s="2">
        <v>42555.0</v>
      </c>
      <c r="C243" s="2" t="str">
        <f t="shared" si="1"/>
        <v>Monday</v>
      </c>
      <c r="D243" s="1">
        <v>6585.0</v>
      </c>
      <c r="E243" s="1">
        <v>5.34000015258789</v>
      </c>
      <c r="F243" s="1">
        <v>5.34000015258789</v>
      </c>
      <c r="G243" s="1">
        <v>0.0</v>
      </c>
      <c r="H243" s="1">
        <v>0.0</v>
      </c>
      <c r="I243" s="1">
        <v>0.0</v>
      </c>
      <c r="J243" s="1">
        <v>5.34000015258789</v>
      </c>
      <c r="K243" s="1">
        <v>0.0</v>
      </c>
      <c r="L243" s="1">
        <v>0.0</v>
      </c>
      <c r="M243" s="1">
        <v>0.0</v>
      </c>
      <c r="N243" s="1">
        <v>210.0</v>
      </c>
      <c r="O243" s="1">
        <v>770.0</v>
      </c>
      <c r="P243" s="1">
        <v>2822.0</v>
      </c>
    </row>
    <row r="244">
      <c r="A244" s="1">
        <v>4.702921684E9</v>
      </c>
      <c r="B244" s="2">
        <v>42494.0</v>
      </c>
      <c r="C244" s="2" t="str">
        <f t="shared" si="1"/>
        <v>Wednesday</v>
      </c>
      <c r="D244" s="1">
        <v>6670.0</v>
      </c>
      <c r="E244" s="1">
        <v>5.40999984741211</v>
      </c>
      <c r="F244" s="1">
        <v>5.40999984741211</v>
      </c>
      <c r="G244" s="1">
        <v>0.0</v>
      </c>
      <c r="H244" s="1">
        <v>1.24000000953674</v>
      </c>
      <c r="I244" s="1">
        <v>0.800000011920929</v>
      </c>
      <c r="J244" s="1">
        <v>3.36999988555908</v>
      </c>
      <c r="K244" s="1">
        <v>0.0</v>
      </c>
      <c r="L244" s="1">
        <v>15.0</v>
      </c>
      <c r="M244" s="1">
        <v>16.0</v>
      </c>
      <c r="N244" s="1">
        <v>199.0</v>
      </c>
      <c r="O244" s="1">
        <v>770.0</v>
      </c>
      <c r="P244" s="1">
        <v>2848.0</v>
      </c>
    </row>
    <row r="245">
      <c r="A245" s="1">
        <v>4.702921684E9</v>
      </c>
      <c r="B245" s="2" t="s">
        <v>20</v>
      </c>
      <c r="C245" s="2" t="str">
        <f t="shared" si="1"/>
        <v>Thursday</v>
      </c>
      <c r="D245" s="1">
        <v>6963.0</v>
      </c>
      <c r="E245" s="1">
        <v>5.65000009536743</v>
      </c>
      <c r="F245" s="1">
        <v>5.65000009536743</v>
      </c>
      <c r="G245" s="1">
        <v>0.0</v>
      </c>
      <c r="H245" s="1">
        <v>0.0</v>
      </c>
      <c r="I245" s="1">
        <v>0.0</v>
      </c>
      <c r="J245" s="1">
        <v>5.65000009536743</v>
      </c>
      <c r="K245" s="1">
        <v>0.0</v>
      </c>
      <c r="L245" s="1">
        <v>0.0</v>
      </c>
      <c r="M245" s="1">
        <v>0.0</v>
      </c>
      <c r="N245" s="1">
        <v>256.0</v>
      </c>
      <c r="O245" s="1">
        <v>759.0</v>
      </c>
      <c r="P245" s="1">
        <v>2895.0</v>
      </c>
    </row>
    <row r="246">
      <c r="A246" s="1">
        <v>4.702921684E9</v>
      </c>
      <c r="B246" s="2">
        <v>42373.0</v>
      </c>
      <c r="C246" s="2" t="str">
        <f t="shared" si="1"/>
        <v>Monday</v>
      </c>
      <c r="D246" s="1">
        <v>7165.0</v>
      </c>
      <c r="E246" s="1">
        <v>5.80999994277954</v>
      </c>
      <c r="F246" s="1">
        <v>5.80999994277954</v>
      </c>
      <c r="G246" s="1">
        <v>0.0</v>
      </c>
      <c r="H246" s="1">
        <v>0.0</v>
      </c>
      <c r="I246" s="1">
        <v>0.370000004768372</v>
      </c>
      <c r="J246" s="1">
        <v>5.44000005722046</v>
      </c>
      <c r="K246" s="1">
        <v>0.0</v>
      </c>
      <c r="L246" s="1">
        <v>0.0</v>
      </c>
      <c r="M246" s="1">
        <v>9.0</v>
      </c>
      <c r="N246" s="1">
        <v>248.0</v>
      </c>
      <c r="O246" s="1">
        <v>708.0</v>
      </c>
      <c r="P246" s="1">
        <v>2923.0</v>
      </c>
    </row>
    <row r="247">
      <c r="A247" s="1">
        <v>4.702921684E9</v>
      </c>
      <c r="B247" s="2" t="s">
        <v>17</v>
      </c>
      <c r="C247" s="2" t="str">
        <f t="shared" si="1"/>
        <v>Wednesday</v>
      </c>
      <c r="D247" s="1">
        <v>7583.0</v>
      </c>
      <c r="E247" s="1">
        <v>6.15000009536743</v>
      </c>
      <c r="F247" s="1">
        <v>6.15000009536743</v>
      </c>
      <c r="G247" s="1">
        <v>0.0</v>
      </c>
      <c r="H247" s="1">
        <v>0.25</v>
      </c>
      <c r="I247" s="1">
        <v>0.550000011920929</v>
      </c>
      <c r="J247" s="1">
        <v>5.34999990463257</v>
      </c>
      <c r="K247" s="1">
        <v>0.0</v>
      </c>
      <c r="L247" s="1">
        <v>3.0</v>
      </c>
      <c r="M247" s="1">
        <v>13.0</v>
      </c>
      <c r="N247" s="1">
        <v>227.0</v>
      </c>
      <c r="O247" s="1">
        <v>742.0</v>
      </c>
      <c r="P247" s="1">
        <v>2915.0</v>
      </c>
    </row>
    <row r="248">
      <c r="A248" s="1">
        <v>4.702921684E9</v>
      </c>
      <c r="B248" s="2">
        <v>42525.0</v>
      </c>
      <c r="C248" s="2" t="str">
        <f t="shared" si="1"/>
        <v>Saturday</v>
      </c>
      <c r="D248" s="1">
        <v>7605.0</v>
      </c>
      <c r="E248" s="1">
        <v>6.17999982833862</v>
      </c>
      <c r="F248" s="1">
        <v>6.17999982833862</v>
      </c>
      <c r="G248" s="1">
        <v>0.0</v>
      </c>
      <c r="H248" s="1">
        <v>0.330000013113022</v>
      </c>
      <c r="I248" s="1">
        <v>0.209999993443489</v>
      </c>
      <c r="J248" s="1">
        <v>5.63000011444092</v>
      </c>
      <c r="K248" s="1">
        <v>0.0</v>
      </c>
      <c r="L248" s="1">
        <v>4.0</v>
      </c>
      <c r="M248" s="1">
        <v>4.0</v>
      </c>
      <c r="N248" s="1">
        <v>248.0</v>
      </c>
      <c r="O248" s="1">
        <v>708.0</v>
      </c>
      <c r="P248" s="1">
        <v>2943.0</v>
      </c>
    </row>
    <row r="249">
      <c r="A249" s="1">
        <v>4.702921684E9</v>
      </c>
      <c r="B249" s="2">
        <v>42464.0</v>
      </c>
      <c r="C249" s="2" t="str">
        <f t="shared" si="1"/>
        <v>Monday</v>
      </c>
      <c r="D249" s="1">
        <v>7810.0</v>
      </c>
      <c r="E249" s="1">
        <v>6.3600001335144</v>
      </c>
      <c r="F249" s="1">
        <v>6.3600001335144</v>
      </c>
      <c r="G249" s="1">
        <v>0.0</v>
      </c>
      <c r="H249" s="1">
        <v>0.479999989271164</v>
      </c>
      <c r="I249" s="1">
        <v>1.20000004768372</v>
      </c>
      <c r="J249" s="1">
        <v>4.67999982833862</v>
      </c>
      <c r="K249" s="1">
        <v>0.0</v>
      </c>
      <c r="L249" s="1">
        <v>6.0</v>
      </c>
      <c r="M249" s="1">
        <v>27.0</v>
      </c>
      <c r="N249" s="1">
        <v>216.0</v>
      </c>
      <c r="O249" s="1">
        <v>746.0</v>
      </c>
      <c r="P249" s="1">
        <v>2931.0</v>
      </c>
    </row>
    <row r="250">
      <c r="A250" s="1">
        <v>4.702921684E9</v>
      </c>
      <c r="B250" s="2">
        <v>42586.0</v>
      </c>
      <c r="C250" s="2" t="str">
        <f t="shared" si="1"/>
        <v>Thursday</v>
      </c>
      <c r="D250" s="1">
        <v>8184.0</v>
      </c>
      <c r="E250" s="1">
        <v>6.6399998664856</v>
      </c>
      <c r="F250" s="1">
        <v>6.6399998664856</v>
      </c>
      <c r="G250" s="1">
        <v>0.0</v>
      </c>
      <c r="H250" s="1">
        <v>0.0</v>
      </c>
      <c r="I250" s="1">
        <v>0.620000004768372</v>
      </c>
      <c r="J250" s="1">
        <v>5.94999980926514</v>
      </c>
      <c r="K250" s="1">
        <v>0.0</v>
      </c>
      <c r="L250" s="1">
        <v>0.0</v>
      </c>
      <c r="M250" s="1">
        <v>15.0</v>
      </c>
      <c r="N250" s="1">
        <v>247.0</v>
      </c>
      <c r="O250" s="1">
        <v>808.0</v>
      </c>
      <c r="P250" s="1">
        <v>2981.0</v>
      </c>
    </row>
    <row r="251">
      <c r="A251" s="1">
        <v>4.702921684E9</v>
      </c>
      <c r="B251" s="2">
        <v>42404.0</v>
      </c>
      <c r="C251" s="2" t="str">
        <f t="shared" si="1"/>
        <v>Thursday</v>
      </c>
      <c r="D251" s="1">
        <v>10328.0</v>
      </c>
      <c r="E251" s="1">
        <v>8.38000011444092</v>
      </c>
      <c r="F251" s="1">
        <v>8.38000011444092</v>
      </c>
      <c r="G251" s="1">
        <v>0.0</v>
      </c>
      <c r="H251" s="1">
        <v>0.0</v>
      </c>
      <c r="I251" s="1">
        <v>1.46000003814697</v>
      </c>
      <c r="J251" s="1">
        <v>6.92000007629395</v>
      </c>
      <c r="K251" s="1">
        <v>0.0</v>
      </c>
      <c r="L251" s="1">
        <v>0.0</v>
      </c>
      <c r="M251" s="1">
        <v>32.0</v>
      </c>
      <c r="N251" s="1">
        <v>367.0</v>
      </c>
      <c r="O251" s="1">
        <v>475.0</v>
      </c>
      <c r="P251" s="1">
        <v>3323.0</v>
      </c>
    </row>
    <row r="252">
      <c r="A252" s="1">
        <v>4.702921684E9</v>
      </c>
      <c r="B252" s="2">
        <v>42647.0</v>
      </c>
      <c r="C252" s="2" t="str">
        <f t="shared" si="1"/>
        <v>Tuesday</v>
      </c>
      <c r="D252" s="1">
        <v>11135.0</v>
      </c>
      <c r="E252" s="1">
        <v>9.02999973297119</v>
      </c>
      <c r="F252" s="1">
        <v>9.02999973297119</v>
      </c>
      <c r="G252" s="1">
        <v>0.0</v>
      </c>
      <c r="H252" s="1">
        <v>0.0799999982118607</v>
      </c>
      <c r="I252" s="1">
        <v>1.1599999666214</v>
      </c>
      <c r="J252" s="1">
        <v>7.78999996185303</v>
      </c>
      <c r="K252" s="1">
        <v>0.0</v>
      </c>
      <c r="L252" s="1">
        <v>1.0</v>
      </c>
      <c r="M252" s="1">
        <v>25.0</v>
      </c>
      <c r="N252" s="1">
        <v>331.0</v>
      </c>
      <c r="O252" s="1">
        <v>528.0</v>
      </c>
      <c r="P252" s="1">
        <v>3224.0</v>
      </c>
    </row>
    <row r="253">
      <c r="A253" s="1">
        <v>4.702921684E9</v>
      </c>
      <c r="B253" s="2">
        <v>42433.0</v>
      </c>
      <c r="C253" s="2" t="str">
        <f t="shared" si="1"/>
        <v>Friday</v>
      </c>
      <c r="D253" s="1">
        <v>12116.0</v>
      </c>
      <c r="E253" s="1">
        <v>9.82999992370605</v>
      </c>
      <c r="F253" s="1">
        <v>9.82999992370605</v>
      </c>
      <c r="G253" s="1">
        <v>0.0</v>
      </c>
      <c r="H253" s="1">
        <v>0.25</v>
      </c>
      <c r="I253" s="1">
        <v>2.84999990463257</v>
      </c>
      <c r="J253" s="1">
        <v>6.71999979019165</v>
      </c>
      <c r="K253" s="1">
        <v>0.0</v>
      </c>
      <c r="L253" s="1">
        <v>3.0</v>
      </c>
      <c r="M253" s="1">
        <v>57.0</v>
      </c>
      <c r="N253" s="1">
        <v>323.0</v>
      </c>
      <c r="O253" s="1">
        <v>471.0</v>
      </c>
      <c r="P253" s="1">
        <v>3357.0</v>
      </c>
    </row>
    <row r="254">
      <c r="A254" s="1">
        <v>4.702921684E9</v>
      </c>
      <c r="B254" s="2">
        <v>42617.0</v>
      </c>
      <c r="C254" s="2" t="str">
        <f t="shared" si="1"/>
        <v>Sunday</v>
      </c>
      <c r="D254" s="1">
        <v>14002.0</v>
      </c>
      <c r="E254" s="1">
        <v>11.3599996566772</v>
      </c>
      <c r="F254" s="1">
        <v>11.3599996566772</v>
      </c>
      <c r="G254" s="1">
        <v>0.0</v>
      </c>
      <c r="H254" s="1">
        <v>0.610000014305115</v>
      </c>
      <c r="I254" s="1">
        <v>2.6800000667572</v>
      </c>
      <c r="J254" s="1">
        <v>8.0600004196167</v>
      </c>
      <c r="K254" s="1">
        <v>0.0</v>
      </c>
      <c r="L254" s="1">
        <v>8.0</v>
      </c>
      <c r="M254" s="1">
        <v>56.0</v>
      </c>
      <c r="N254" s="1">
        <v>381.0</v>
      </c>
      <c r="O254" s="1">
        <v>407.0</v>
      </c>
      <c r="P254" s="1">
        <v>3597.0</v>
      </c>
    </row>
    <row r="255">
      <c r="A255" s="1">
        <v>5.553957443E9</v>
      </c>
      <c r="B255" s="2">
        <v>42433.0</v>
      </c>
      <c r="C255" s="2" t="str">
        <f t="shared" si="1"/>
        <v>Friday</v>
      </c>
      <c r="D255" s="1">
        <v>1515.0</v>
      </c>
      <c r="E255" s="1">
        <v>0.990000009536743</v>
      </c>
      <c r="F255" s="1">
        <v>0.990000009536743</v>
      </c>
      <c r="G255" s="1">
        <v>0.0</v>
      </c>
      <c r="H255" s="1">
        <v>0.0</v>
      </c>
      <c r="I255" s="1">
        <v>0.0</v>
      </c>
      <c r="J255" s="1">
        <v>0.990000009536743</v>
      </c>
      <c r="K255" s="1">
        <v>0.0</v>
      </c>
      <c r="L255" s="1">
        <v>0.0</v>
      </c>
      <c r="M255" s="1">
        <v>0.0</v>
      </c>
      <c r="N255" s="1">
        <v>93.0</v>
      </c>
      <c r="O255" s="1">
        <v>507.0</v>
      </c>
      <c r="P255" s="1">
        <v>1481.0</v>
      </c>
    </row>
    <row r="256">
      <c r="A256" s="1">
        <v>5.553957443E9</v>
      </c>
      <c r="B256" s="2">
        <v>42404.0</v>
      </c>
      <c r="C256" s="2" t="str">
        <f t="shared" si="1"/>
        <v>Thursday</v>
      </c>
      <c r="D256" s="1">
        <v>2937.0</v>
      </c>
      <c r="E256" s="1">
        <v>1.91999995708466</v>
      </c>
      <c r="F256" s="1">
        <v>1.91999995708466</v>
      </c>
      <c r="G256" s="1">
        <v>0.0</v>
      </c>
      <c r="H256" s="1">
        <v>0.0</v>
      </c>
      <c r="I256" s="1">
        <v>0.0</v>
      </c>
      <c r="J256" s="1">
        <v>1.9099999666214</v>
      </c>
      <c r="K256" s="1">
        <v>0.0</v>
      </c>
      <c r="L256" s="1">
        <v>0.0</v>
      </c>
      <c r="M256" s="1">
        <v>0.0</v>
      </c>
      <c r="N256" s="1">
        <v>181.0</v>
      </c>
      <c r="O256" s="1">
        <v>356.0</v>
      </c>
      <c r="P256" s="1">
        <v>1615.0</v>
      </c>
    </row>
    <row r="257">
      <c r="A257" s="1">
        <v>5.553957443E9</v>
      </c>
      <c r="B257" s="2">
        <v>42708.0</v>
      </c>
      <c r="C257" s="2" t="str">
        <f t="shared" si="1"/>
        <v>Sunday</v>
      </c>
      <c r="D257" s="1">
        <v>3436.0</v>
      </c>
      <c r="E257" s="1">
        <v>2.24000000953674</v>
      </c>
      <c r="F257" s="1">
        <v>2.24000000953674</v>
      </c>
      <c r="G257" s="1">
        <v>0.0</v>
      </c>
      <c r="H257" s="1">
        <v>0.5</v>
      </c>
      <c r="I257" s="1">
        <v>0.670000016689301</v>
      </c>
      <c r="J257" s="1">
        <v>1.04999995231628</v>
      </c>
      <c r="K257" s="1">
        <v>0.0</v>
      </c>
      <c r="L257" s="1">
        <v>7.0</v>
      </c>
      <c r="M257" s="1">
        <v>11.0</v>
      </c>
      <c r="N257" s="1">
        <v>50.0</v>
      </c>
      <c r="O257" s="1">
        <v>61.0</v>
      </c>
      <c r="P257" s="1">
        <v>633.0</v>
      </c>
    </row>
    <row r="258">
      <c r="A258" s="1">
        <v>5.553957443E9</v>
      </c>
      <c r="B258" s="2">
        <v>42617.0</v>
      </c>
      <c r="C258" s="2" t="str">
        <f t="shared" si="1"/>
        <v>Sunday</v>
      </c>
      <c r="D258" s="1">
        <v>4599.0</v>
      </c>
      <c r="E258" s="1">
        <v>3.0</v>
      </c>
      <c r="F258" s="1">
        <v>3.0</v>
      </c>
      <c r="G258" s="1">
        <v>0.0</v>
      </c>
      <c r="H258" s="1">
        <v>0.0</v>
      </c>
      <c r="I258" s="1">
        <v>0.0</v>
      </c>
      <c r="J258" s="1">
        <v>3.0</v>
      </c>
      <c r="K258" s="1">
        <v>0.0</v>
      </c>
      <c r="L258" s="1">
        <v>0.0</v>
      </c>
      <c r="M258" s="1">
        <v>0.0</v>
      </c>
      <c r="N258" s="1">
        <v>176.0</v>
      </c>
      <c r="O258" s="1">
        <v>578.0</v>
      </c>
      <c r="P258" s="1">
        <v>1692.0</v>
      </c>
    </row>
    <row r="259">
      <c r="A259" s="1">
        <v>5.553957443E9</v>
      </c>
      <c r="B259" s="2">
        <v>42647.0</v>
      </c>
      <c r="C259" s="2" t="str">
        <f t="shared" si="1"/>
        <v>Tuesday</v>
      </c>
      <c r="D259" s="1">
        <v>5594.0</v>
      </c>
      <c r="E259" s="1">
        <v>3.65000009536743</v>
      </c>
      <c r="F259" s="1">
        <v>3.65000009536743</v>
      </c>
      <c r="G259" s="1">
        <v>0.0</v>
      </c>
      <c r="H259" s="1">
        <v>0.280000001192093</v>
      </c>
      <c r="I259" s="1">
        <v>1.48000001907349</v>
      </c>
      <c r="J259" s="1">
        <v>1.88999998569489</v>
      </c>
      <c r="K259" s="1">
        <v>0.0</v>
      </c>
      <c r="L259" s="1">
        <v>4.0</v>
      </c>
      <c r="M259" s="1">
        <v>25.0</v>
      </c>
      <c r="N259" s="1">
        <v>150.0</v>
      </c>
      <c r="O259" s="1">
        <v>552.0</v>
      </c>
      <c r="P259" s="1">
        <v>1712.0</v>
      </c>
    </row>
    <row r="260">
      <c r="A260" s="1">
        <v>5.553957443E9</v>
      </c>
      <c r="B260" s="2">
        <v>42464.0</v>
      </c>
      <c r="C260" s="2" t="str">
        <f t="shared" si="1"/>
        <v>Monday</v>
      </c>
      <c r="D260" s="1">
        <v>8921.0</v>
      </c>
      <c r="E260" s="1">
        <v>5.88000011444092</v>
      </c>
      <c r="F260" s="1">
        <v>5.88000011444092</v>
      </c>
      <c r="G260" s="1">
        <v>0.0</v>
      </c>
      <c r="H260" s="1">
        <v>2.0699999332428</v>
      </c>
      <c r="I260" s="1">
        <v>0.439999997615814</v>
      </c>
      <c r="J260" s="1">
        <v>3.35999989509583</v>
      </c>
      <c r="K260" s="1">
        <v>0.0</v>
      </c>
      <c r="L260" s="1">
        <v>27.0</v>
      </c>
      <c r="M260" s="1">
        <v>8.0</v>
      </c>
      <c r="N260" s="1">
        <v>198.0</v>
      </c>
      <c r="O260" s="1">
        <v>754.0</v>
      </c>
      <c r="P260" s="1">
        <v>1892.0</v>
      </c>
    </row>
    <row r="261">
      <c r="A261" s="1">
        <v>5.553957443E9</v>
      </c>
      <c r="B261" s="2">
        <v>42586.0</v>
      </c>
      <c r="C261" s="2" t="str">
        <f t="shared" si="1"/>
        <v>Thursday</v>
      </c>
      <c r="D261" s="1">
        <v>9938.0</v>
      </c>
      <c r="E261" s="1">
        <v>6.48999977111816</v>
      </c>
      <c r="F261" s="1">
        <v>6.48999977111816</v>
      </c>
      <c r="G261" s="1">
        <v>0.0</v>
      </c>
      <c r="H261" s="1">
        <v>2.14000010490417</v>
      </c>
      <c r="I261" s="1">
        <v>1.27999997138977</v>
      </c>
      <c r="J261" s="1">
        <v>3.07999992370605</v>
      </c>
      <c r="K261" s="1">
        <v>0.0</v>
      </c>
      <c r="L261" s="1">
        <v>38.0</v>
      </c>
      <c r="M261" s="1">
        <v>24.0</v>
      </c>
      <c r="N261" s="1">
        <v>193.0</v>
      </c>
      <c r="O261" s="1">
        <v>767.0</v>
      </c>
      <c r="P261" s="1">
        <v>2019.0</v>
      </c>
    </row>
    <row r="262">
      <c r="A262" s="1">
        <v>5.553957443E9</v>
      </c>
      <c r="B262" s="2">
        <v>42494.0</v>
      </c>
      <c r="C262" s="2" t="str">
        <f t="shared" si="1"/>
        <v>Wednesday</v>
      </c>
      <c r="D262" s="1">
        <v>11306.0</v>
      </c>
      <c r="E262" s="1">
        <v>7.38000011444092</v>
      </c>
      <c r="F262" s="1">
        <v>7.38000011444092</v>
      </c>
      <c r="G262" s="1">
        <v>0.0</v>
      </c>
      <c r="H262" s="1">
        <v>2.30999994277954</v>
      </c>
      <c r="I262" s="1">
        <v>0.980000019073486</v>
      </c>
      <c r="J262" s="1">
        <v>4.09000015258789</v>
      </c>
      <c r="K262" s="1">
        <v>0.0</v>
      </c>
      <c r="L262" s="1">
        <v>40.0</v>
      </c>
      <c r="M262" s="1">
        <v>26.0</v>
      </c>
      <c r="N262" s="1">
        <v>218.0</v>
      </c>
      <c r="O262" s="1">
        <v>772.0</v>
      </c>
      <c r="P262" s="1">
        <v>2086.0</v>
      </c>
    </row>
    <row r="263">
      <c r="A263" s="1">
        <v>5.553957443E9</v>
      </c>
      <c r="B263" s="2">
        <v>42678.0</v>
      </c>
      <c r="C263" s="2" t="str">
        <f t="shared" si="1"/>
        <v>Friday</v>
      </c>
      <c r="D263" s="1">
        <v>11906.0</v>
      </c>
      <c r="E263" s="1">
        <v>7.76999998092651</v>
      </c>
      <c r="F263" s="1">
        <v>7.76999998092651</v>
      </c>
      <c r="G263" s="1">
        <v>0.0</v>
      </c>
      <c r="H263" s="1">
        <v>2.25999999046326</v>
      </c>
      <c r="I263" s="1">
        <v>1.51999998092651</v>
      </c>
      <c r="J263" s="1">
        <v>3.99000000953674</v>
      </c>
      <c r="K263" s="1">
        <v>0.0</v>
      </c>
      <c r="L263" s="1">
        <v>32.0</v>
      </c>
      <c r="M263" s="1">
        <v>27.0</v>
      </c>
      <c r="N263" s="1">
        <v>234.0</v>
      </c>
      <c r="O263" s="1">
        <v>688.0</v>
      </c>
      <c r="P263" s="1">
        <v>2065.0</v>
      </c>
    </row>
    <row r="264">
      <c r="A264" s="1">
        <v>5.553957443E9</v>
      </c>
      <c r="B264" s="2">
        <v>42525.0</v>
      </c>
      <c r="C264" s="2" t="str">
        <f t="shared" si="1"/>
        <v>Saturday</v>
      </c>
      <c r="D264" s="1">
        <v>12252.0</v>
      </c>
      <c r="E264" s="1">
        <v>8.0</v>
      </c>
      <c r="F264" s="1">
        <v>8.0</v>
      </c>
      <c r="G264" s="1">
        <v>0.0</v>
      </c>
      <c r="H264" s="1">
        <v>2.41000008583069</v>
      </c>
      <c r="I264" s="1">
        <v>1.70000004768372</v>
      </c>
      <c r="J264" s="1">
        <v>3.89000010490417</v>
      </c>
      <c r="K264" s="1">
        <v>0.0</v>
      </c>
      <c r="L264" s="1">
        <v>33.0</v>
      </c>
      <c r="M264" s="1">
        <v>28.0</v>
      </c>
      <c r="N264" s="1">
        <v>229.0</v>
      </c>
      <c r="O264" s="1">
        <v>745.0</v>
      </c>
      <c r="P264" s="1">
        <v>2044.0</v>
      </c>
    </row>
    <row r="265">
      <c r="A265" s="1">
        <v>5.553957443E9</v>
      </c>
      <c r="B265" s="2">
        <v>42373.0</v>
      </c>
      <c r="C265" s="2" t="str">
        <f t="shared" si="1"/>
        <v>Monday</v>
      </c>
      <c r="D265" s="1">
        <v>12409.0</v>
      </c>
      <c r="E265" s="1">
        <v>8.10000038146973</v>
      </c>
      <c r="F265" s="1">
        <v>8.10000038146973</v>
      </c>
      <c r="G265" s="1">
        <v>0.0</v>
      </c>
      <c r="H265" s="1">
        <v>2.90000009536743</v>
      </c>
      <c r="I265" s="1">
        <v>0.629999995231628</v>
      </c>
      <c r="J265" s="1">
        <v>4.57999992370605</v>
      </c>
      <c r="K265" s="1">
        <v>0.0</v>
      </c>
      <c r="L265" s="1">
        <v>51.0</v>
      </c>
      <c r="M265" s="1">
        <v>12.0</v>
      </c>
      <c r="N265" s="1">
        <v>235.0</v>
      </c>
      <c r="O265" s="1">
        <v>782.0</v>
      </c>
      <c r="P265" s="1">
        <v>2142.0</v>
      </c>
    </row>
    <row r="266">
      <c r="A266" s="1">
        <v>5.553957443E9</v>
      </c>
      <c r="B266" s="2">
        <v>42555.0</v>
      </c>
      <c r="C266" s="2" t="str">
        <f t="shared" si="1"/>
        <v>Monday</v>
      </c>
      <c r="D266" s="1">
        <v>15444.0</v>
      </c>
      <c r="E266" s="1">
        <v>10.0799999237061</v>
      </c>
      <c r="F266" s="1">
        <v>10.0799999237061</v>
      </c>
      <c r="G266" s="1">
        <v>0.0</v>
      </c>
      <c r="H266" s="1">
        <v>3.26999998092651</v>
      </c>
      <c r="I266" s="1">
        <v>1.73000001907349</v>
      </c>
      <c r="J266" s="1">
        <v>5.07999992370605</v>
      </c>
      <c r="K266" s="1">
        <v>0.0</v>
      </c>
      <c r="L266" s="1">
        <v>51.0</v>
      </c>
      <c r="M266" s="1">
        <v>39.0</v>
      </c>
      <c r="N266" s="1">
        <v>243.0</v>
      </c>
      <c r="O266" s="1">
        <v>731.0</v>
      </c>
      <c r="P266" s="1">
        <v>2249.0</v>
      </c>
    </row>
    <row r="267">
      <c r="A267" s="1">
        <v>5.577150313E9</v>
      </c>
      <c r="B267" s="2">
        <v>42678.0</v>
      </c>
      <c r="C267" s="2" t="str">
        <f t="shared" si="1"/>
        <v>Friday</v>
      </c>
      <c r="D267" s="1">
        <v>2862.0</v>
      </c>
      <c r="E267" s="1">
        <v>2.14000010490417</v>
      </c>
      <c r="F267" s="1">
        <v>2.14000010490417</v>
      </c>
      <c r="G267" s="1">
        <v>0.0</v>
      </c>
      <c r="H267" s="1">
        <v>1.03999996185303</v>
      </c>
      <c r="I267" s="1">
        <v>0.25</v>
      </c>
      <c r="J267" s="1">
        <v>0.839999973773956</v>
      </c>
      <c r="K267" s="1">
        <v>0.0</v>
      </c>
      <c r="L267" s="1">
        <v>39.0</v>
      </c>
      <c r="M267" s="1">
        <v>17.0</v>
      </c>
      <c r="N267" s="1">
        <v>54.0</v>
      </c>
      <c r="O267" s="1">
        <v>209.0</v>
      </c>
      <c r="P267" s="1">
        <v>1511.0</v>
      </c>
    </row>
    <row r="268">
      <c r="A268" s="1">
        <v>5.577150313E9</v>
      </c>
      <c r="B268" s="2">
        <v>42586.0</v>
      </c>
      <c r="C268" s="2" t="str">
        <f t="shared" si="1"/>
        <v>Thursday</v>
      </c>
      <c r="D268" s="1">
        <v>4363.0</v>
      </c>
      <c r="E268" s="1">
        <v>3.25999999046326</v>
      </c>
      <c r="F268" s="1">
        <v>3.25999999046326</v>
      </c>
      <c r="G268" s="1">
        <v>0.0</v>
      </c>
      <c r="H268" s="1">
        <v>0.129999995231628</v>
      </c>
      <c r="I268" s="1">
        <v>0.0599999986588955</v>
      </c>
      <c r="J268" s="1">
        <v>3.07999992370605</v>
      </c>
      <c r="K268" s="1">
        <v>0.0</v>
      </c>
      <c r="L268" s="1">
        <v>8.0</v>
      </c>
      <c r="M268" s="1">
        <v>2.0</v>
      </c>
      <c r="N268" s="1">
        <v>156.0</v>
      </c>
      <c r="O268" s="1">
        <v>813.0</v>
      </c>
      <c r="P268" s="1">
        <v>2486.0</v>
      </c>
    </row>
    <row r="269">
      <c r="A269" s="1">
        <v>5.577150313E9</v>
      </c>
      <c r="B269" s="2">
        <v>42555.0</v>
      </c>
      <c r="C269" s="2" t="str">
        <f t="shared" si="1"/>
        <v>Monday</v>
      </c>
      <c r="D269" s="1">
        <v>4499.0</v>
      </c>
      <c r="E269" s="1">
        <v>3.35999989509583</v>
      </c>
      <c r="F269" s="1">
        <v>3.35999989509583</v>
      </c>
      <c r="G269" s="1">
        <v>0.0</v>
      </c>
      <c r="H269" s="1">
        <v>0.889999985694885</v>
      </c>
      <c r="I269" s="1">
        <v>0.259999990463257</v>
      </c>
      <c r="J269" s="1">
        <v>2.21000003814697</v>
      </c>
      <c r="K269" s="1">
        <v>0.0</v>
      </c>
      <c r="L269" s="1">
        <v>31.0</v>
      </c>
      <c r="M269" s="1">
        <v>11.0</v>
      </c>
      <c r="N269" s="1">
        <v>146.0</v>
      </c>
      <c r="O269" s="1">
        <v>756.0</v>
      </c>
      <c r="P269" s="1">
        <v>2775.0</v>
      </c>
    </row>
    <row r="270">
      <c r="A270" s="1">
        <v>5.577150313E9</v>
      </c>
      <c r="B270" s="2">
        <v>42464.0</v>
      </c>
      <c r="C270" s="2" t="str">
        <f t="shared" si="1"/>
        <v>Monday</v>
      </c>
      <c r="D270" s="1">
        <v>7401.0</v>
      </c>
      <c r="E270" s="1">
        <v>5.55999994277954</v>
      </c>
      <c r="F270" s="1">
        <v>5.55999994277954</v>
      </c>
      <c r="G270" s="1">
        <v>0.0</v>
      </c>
      <c r="H270" s="1">
        <v>2.3199999332428</v>
      </c>
      <c r="I270" s="1">
        <v>0.360000014305115</v>
      </c>
      <c r="J270" s="1">
        <v>2.88000011444092</v>
      </c>
      <c r="K270" s="1">
        <v>0.0</v>
      </c>
      <c r="L270" s="1">
        <v>70.0</v>
      </c>
      <c r="M270" s="1">
        <v>19.0</v>
      </c>
      <c r="N270" s="1">
        <v>204.0</v>
      </c>
      <c r="O270" s="1">
        <v>689.0</v>
      </c>
      <c r="P270" s="1">
        <v>3492.0</v>
      </c>
    </row>
    <row r="271">
      <c r="A271" s="1">
        <v>5.577150313E9</v>
      </c>
      <c r="B271" s="2">
        <v>42494.0</v>
      </c>
      <c r="C271" s="2" t="str">
        <f t="shared" si="1"/>
        <v>Wednesday</v>
      </c>
      <c r="D271" s="1">
        <v>8964.0</v>
      </c>
      <c r="E271" s="1">
        <v>6.69999980926514</v>
      </c>
      <c r="F271" s="1">
        <v>6.69999980926514</v>
      </c>
      <c r="G271" s="1">
        <v>0.0</v>
      </c>
      <c r="H271" s="1">
        <v>3.97000002861023</v>
      </c>
      <c r="I271" s="1">
        <v>0.189999997615814</v>
      </c>
      <c r="J271" s="1">
        <v>2.52999997138977</v>
      </c>
      <c r="K271" s="1">
        <v>0.0</v>
      </c>
      <c r="L271" s="1">
        <v>107.0</v>
      </c>
      <c r="M271" s="1">
        <v>18.0</v>
      </c>
      <c r="N271" s="1">
        <v>145.0</v>
      </c>
      <c r="O271" s="1">
        <v>756.0</v>
      </c>
      <c r="P271" s="1">
        <v>3597.0</v>
      </c>
    </row>
    <row r="272">
      <c r="A272" s="1">
        <v>5.577150313E9</v>
      </c>
      <c r="B272" s="2">
        <v>42647.0</v>
      </c>
      <c r="C272" s="2" t="str">
        <f t="shared" si="1"/>
        <v>Tuesday</v>
      </c>
      <c r="D272" s="1">
        <v>9776.0</v>
      </c>
      <c r="E272" s="1">
        <v>7.38000011444092</v>
      </c>
      <c r="F272" s="1">
        <v>7.38000011444092</v>
      </c>
      <c r="G272" s="1">
        <v>0.0</v>
      </c>
      <c r="H272" s="1">
        <v>2.9300000667572</v>
      </c>
      <c r="I272" s="1">
        <v>1.42999994754791</v>
      </c>
      <c r="J272" s="1">
        <v>3.01999998092651</v>
      </c>
      <c r="K272" s="1">
        <v>0.0</v>
      </c>
      <c r="L272" s="1">
        <v>80.0</v>
      </c>
      <c r="M272" s="1">
        <v>35.0</v>
      </c>
      <c r="N272" s="1">
        <v>162.0</v>
      </c>
      <c r="O272" s="1">
        <v>721.0</v>
      </c>
      <c r="P272" s="1">
        <v>3378.0</v>
      </c>
    </row>
    <row r="273">
      <c r="A273" s="1">
        <v>5.577150313E9</v>
      </c>
      <c r="B273" s="2">
        <v>42433.0</v>
      </c>
      <c r="C273" s="2" t="str">
        <f t="shared" si="1"/>
        <v>Friday</v>
      </c>
      <c r="D273" s="1">
        <v>9917.0</v>
      </c>
      <c r="E273" s="1">
        <v>7.40999984741211</v>
      </c>
      <c r="F273" s="1">
        <v>7.40999984741211</v>
      </c>
      <c r="G273" s="1">
        <v>0.0</v>
      </c>
      <c r="H273" s="1">
        <v>1.99000000953674</v>
      </c>
      <c r="I273" s="1">
        <v>0.970000028610229</v>
      </c>
      <c r="J273" s="1">
        <v>4.44000005722046</v>
      </c>
      <c r="K273" s="1">
        <v>0.0</v>
      </c>
      <c r="L273" s="1">
        <v>58.0</v>
      </c>
      <c r="M273" s="1">
        <v>27.0</v>
      </c>
      <c r="N273" s="1">
        <v>240.0</v>
      </c>
      <c r="O273" s="1">
        <v>700.0</v>
      </c>
      <c r="P273" s="1">
        <v>3427.0</v>
      </c>
    </row>
    <row r="274">
      <c r="A274" s="1">
        <v>5.577150313E9</v>
      </c>
      <c r="B274" s="2">
        <v>42373.0</v>
      </c>
      <c r="C274" s="2" t="str">
        <f t="shared" si="1"/>
        <v>Monday</v>
      </c>
      <c r="D274" s="1">
        <v>10461.0</v>
      </c>
      <c r="E274" s="1">
        <v>7.86999988555908</v>
      </c>
      <c r="F274" s="1">
        <v>7.86999988555908</v>
      </c>
      <c r="G274" s="1">
        <v>0.0</v>
      </c>
      <c r="H274" s="1">
        <v>4.76000022888184</v>
      </c>
      <c r="I274" s="1">
        <v>0.850000023841858</v>
      </c>
      <c r="J274" s="1">
        <v>2.25</v>
      </c>
      <c r="K274" s="1">
        <v>0.0</v>
      </c>
      <c r="L274" s="1">
        <v>99.0</v>
      </c>
      <c r="M274" s="1">
        <v>31.0</v>
      </c>
      <c r="N274" s="1">
        <v>142.0</v>
      </c>
      <c r="O274" s="1">
        <v>721.0</v>
      </c>
      <c r="P274" s="1">
        <v>3625.0</v>
      </c>
    </row>
    <row r="275">
      <c r="A275" s="1">
        <v>5.577150313E9</v>
      </c>
      <c r="B275" s="2">
        <v>42617.0</v>
      </c>
      <c r="C275" s="2" t="str">
        <f t="shared" si="1"/>
        <v>Sunday</v>
      </c>
      <c r="D275" s="1">
        <v>10494.0</v>
      </c>
      <c r="E275" s="1">
        <v>7.84000015258789</v>
      </c>
      <c r="F275" s="1">
        <v>7.84000015258789</v>
      </c>
      <c r="G275" s="1">
        <v>0.0</v>
      </c>
      <c r="H275" s="1">
        <v>4.90999984741211</v>
      </c>
      <c r="I275" s="1">
        <v>0.779999971389771</v>
      </c>
      <c r="J275" s="1">
        <v>2.15000009536743</v>
      </c>
      <c r="K275" s="1">
        <v>0.0</v>
      </c>
      <c r="L275" s="1">
        <v>123.0</v>
      </c>
      <c r="M275" s="1">
        <v>62.0</v>
      </c>
      <c r="N275" s="1">
        <v>138.0</v>
      </c>
      <c r="O275" s="1">
        <v>601.0</v>
      </c>
      <c r="P275" s="1">
        <v>3817.0</v>
      </c>
    </row>
    <row r="276">
      <c r="A276" s="1">
        <v>5.577150313E9</v>
      </c>
      <c r="B276" s="2">
        <v>42525.0</v>
      </c>
      <c r="C276" s="2" t="str">
        <f t="shared" si="1"/>
        <v>Saturday</v>
      </c>
      <c r="D276" s="1">
        <v>11080.0</v>
      </c>
      <c r="E276" s="1">
        <v>8.30000019073486</v>
      </c>
      <c r="F276" s="1">
        <v>8.30000019073486</v>
      </c>
      <c r="G276" s="1">
        <v>0.0</v>
      </c>
      <c r="H276" s="1">
        <v>3.13000011444092</v>
      </c>
      <c r="I276" s="1">
        <v>1.37000000476837</v>
      </c>
      <c r="J276" s="1">
        <v>3.80999994277954</v>
      </c>
      <c r="K276" s="1">
        <v>0.0</v>
      </c>
      <c r="L276" s="1">
        <v>83.0</v>
      </c>
      <c r="M276" s="1">
        <v>52.0</v>
      </c>
      <c r="N276" s="1">
        <v>190.0</v>
      </c>
      <c r="O276" s="1">
        <v>695.0</v>
      </c>
      <c r="P276" s="1">
        <v>3765.0</v>
      </c>
    </row>
    <row r="277">
      <c r="A277" s="1">
        <v>5.577150313E9</v>
      </c>
      <c r="B277" s="2">
        <v>42404.0</v>
      </c>
      <c r="C277" s="2" t="str">
        <f t="shared" si="1"/>
        <v>Thursday</v>
      </c>
      <c r="D277" s="1">
        <v>14873.0</v>
      </c>
      <c r="E277" s="1">
        <v>11.1099996566772</v>
      </c>
      <c r="F277" s="1">
        <v>11.1099996566772</v>
      </c>
      <c r="G277" s="1">
        <v>0.0</v>
      </c>
      <c r="H277" s="1">
        <v>8.1899995803833</v>
      </c>
      <c r="I277" s="1">
        <v>0.600000023841858</v>
      </c>
      <c r="J277" s="1">
        <v>2.30999994277954</v>
      </c>
      <c r="K277" s="1">
        <v>0.0</v>
      </c>
      <c r="L277" s="1">
        <v>202.0</v>
      </c>
      <c r="M277" s="1">
        <v>36.0</v>
      </c>
      <c r="N277" s="1">
        <v>153.0</v>
      </c>
      <c r="O277" s="1">
        <v>663.0</v>
      </c>
      <c r="P277" s="1">
        <v>4430.0</v>
      </c>
    </row>
    <row r="278">
      <c r="A278" s="1">
        <v>6.11766616E9</v>
      </c>
      <c r="B278" s="2">
        <v>42555.0</v>
      </c>
      <c r="C278" s="2" t="str">
        <f t="shared" si="1"/>
        <v>Monday</v>
      </c>
      <c r="D278" s="1">
        <v>4853.0</v>
      </c>
      <c r="E278" s="1">
        <v>3.66000008583069</v>
      </c>
      <c r="F278" s="1">
        <v>3.66000008583069</v>
      </c>
      <c r="G278" s="1">
        <v>0.0</v>
      </c>
      <c r="H278" s="1">
        <v>0.0</v>
      </c>
      <c r="I278" s="1">
        <v>0.0</v>
      </c>
      <c r="J278" s="1">
        <v>3.66000008583069</v>
      </c>
      <c r="K278" s="1">
        <v>0.0</v>
      </c>
      <c r="L278" s="1">
        <v>0.0</v>
      </c>
      <c r="M278" s="1">
        <v>0.0</v>
      </c>
      <c r="N278" s="1">
        <v>156.0</v>
      </c>
      <c r="O278" s="1">
        <v>770.0</v>
      </c>
      <c r="P278" s="1">
        <v>1903.0</v>
      </c>
    </row>
    <row r="279">
      <c r="A279" s="1">
        <v>6.11766616E9</v>
      </c>
      <c r="B279" s="2">
        <v>42373.0</v>
      </c>
      <c r="C279" s="2" t="str">
        <f t="shared" si="1"/>
        <v>Monday</v>
      </c>
      <c r="D279" s="1">
        <v>7444.0</v>
      </c>
      <c r="E279" s="1">
        <v>5.61999988555908</v>
      </c>
      <c r="F279" s="1">
        <v>5.61999988555908</v>
      </c>
      <c r="G279" s="1">
        <v>0.0</v>
      </c>
      <c r="H279" s="1">
        <v>0.0</v>
      </c>
      <c r="I279" s="1">
        <v>0.0</v>
      </c>
      <c r="J279" s="1">
        <v>5.61999988555908</v>
      </c>
      <c r="K279" s="1">
        <v>0.0</v>
      </c>
      <c r="L279" s="1">
        <v>0.0</v>
      </c>
      <c r="M279" s="1">
        <v>0.0</v>
      </c>
      <c r="N279" s="1">
        <v>286.0</v>
      </c>
      <c r="O279" s="1">
        <v>568.0</v>
      </c>
      <c r="P279" s="1">
        <v>2210.0</v>
      </c>
    </row>
    <row r="280">
      <c r="A280" s="1">
        <v>6.11766616E9</v>
      </c>
      <c r="B280" s="2">
        <v>42464.0</v>
      </c>
      <c r="C280" s="2" t="str">
        <f t="shared" si="1"/>
        <v>Monday</v>
      </c>
      <c r="D280" s="1">
        <v>8468.0</v>
      </c>
      <c r="E280" s="1">
        <v>6.3899998664856</v>
      </c>
      <c r="F280" s="1">
        <v>6.3899998664856</v>
      </c>
      <c r="G280" s="1">
        <v>0.0</v>
      </c>
      <c r="H280" s="1">
        <v>0.180000007152557</v>
      </c>
      <c r="I280" s="1">
        <v>0.639999985694885</v>
      </c>
      <c r="J280" s="1">
        <v>5.57000017166138</v>
      </c>
      <c r="K280" s="1">
        <v>0.0</v>
      </c>
      <c r="L280" s="1">
        <v>2.0</v>
      </c>
      <c r="M280" s="1">
        <v>11.0</v>
      </c>
      <c r="N280" s="1">
        <v>279.0</v>
      </c>
      <c r="O280" s="1">
        <v>1148.0</v>
      </c>
      <c r="P280" s="1">
        <v>2262.0</v>
      </c>
    </row>
    <row r="281">
      <c r="A281" s="1">
        <v>6.11766616E9</v>
      </c>
      <c r="B281" s="2">
        <v>42586.0</v>
      </c>
      <c r="C281" s="2" t="str">
        <f t="shared" si="1"/>
        <v>Thursday</v>
      </c>
      <c r="D281" s="1">
        <v>8955.0</v>
      </c>
      <c r="E281" s="1">
        <v>6.76000022888184</v>
      </c>
      <c r="F281" s="1">
        <v>6.76000022888184</v>
      </c>
      <c r="G281" s="1">
        <v>0.0</v>
      </c>
      <c r="H281" s="1">
        <v>0.0</v>
      </c>
      <c r="I281" s="1">
        <v>0.0</v>
      </c>
      <c r="J281" s="1">
        <v>6.73000001907349</v>
      </c>
      <c r="K281" s="1">
        <v>0.0</v>
      </c>
      <c r="L281" s="1">
        <v>0.0</v>
      </c>
      <c r="M281" s="1">
        <v>0.0</v>
      </c>
      <c r="N281" s="1">
        <v>422.0</v>
      </c>
      <c r="O281" s="1">
        <v>1018.0</v>
      </c>
      <c r="P281" s="1">
        <v>2482.0</v>
      </c>
    </row>
    <row r="282">
      <c r="A282" s="1">
        <v>6.11766616E9</v>
      </c>
      <c r="B282" s="2">
        <v>42494.0</v>
      </c>
      <c r="C282" s="2" t="str">
        <f t="shared" si="1"/>
        <v>Wednesday</v>
      </c>
      <c r="D282" s="1">
        <v>9910.0</v>
      </c>
      <c r="E282" s="1">
        <v>7.48000001907349</v>
      </c>
      <c r="F282" s="1">
        <v>7.48000001907349</v>
      </c>
      <c r="G282" s="1">
        <v>0.0</v>
      </c>
      <c r="H282" s="1">
        <v>0.0</v>
      </c>
      <c r="I282" s="1">
        <v>0.0</v>
      </c>
      <c r="J282" s="1">
        <v>7.48000001907349</v>
      </c>
      <c r="K282" s="1">
        <v>0.0</v>
      </c>
      <c r="L282" s="1">
        <v>0.0</v>
      </c>
      <c r="M282" s="1">
        <v>0.0</v>
      </c>
      <c r="N282" s="1">
        <v>384.0</v>
      </c>
      <c r="O282" s="1">
        <v>990.0</v>
      </c>
      <c r="P282" s="1">
        <v>2445.0</v>
      </c>
    </row>
    <row r="283">
      <c r="A283" s="1">
        <v>6.11766616E9</v>
      </c>
      <c r="B283" s="2">
        <v>42617.0</v>
      </c>
      <c r="C283" s="2" t="str">
        <f t="shared" si="1"/>
        <v>Sunday</v>
      </c>
      <c r="D283" s="1">
        <v>10789.0</v>
      </c>
      <c r="E283" s="1">
        <v>8.14999961853027</v>
      </c>
      <c r="F283" s="1">
        <v>8.14999961853027</v>
      </c>
      <c r="G283" s="1">
        <v>0.0</v>
      </c>
      <c r="H283" s="1">
        <v>0.0</v>
      </c>
      <c r="I283" s="1">
        <v>0.0</v>
      </c>
      <c r="J283" s="1">
        <v>8.14999961853027</v>
      </c>
      <c r="K283" s="1">
        <v>0.0</v>
      </c>
      <c r="L283" s="1">
        <v>0.0</v>
      </c>
      <c r="M283" s="1">
        <v>0.0</v>
      </c>
      <c r="N283" s="1">
        <v>506.0</v>
      </c>
      <c r="O283" s="1">
        <v>413.0</v>
      </c>
      <c r="P283" s="1">
        <v>2617.0</v>
      </c>
    </row>
    <row r="284">
      <c r="A284" s="1">
        <v>6.11766616E9</v>
      </c>
      <c r="B284" s="2">
        <v>42525.0</v>
      </c>
      <c r="C284" s="2" t="str">
        <f t="shared" si="1"/>
        <v>Saturday</v>
      </c>
      <c r="D284" s="1">
        <v>12409.0</v>
      </c>
      <c r="E284" s="1">
        <v>9.36999988555908</v>
      </c>
      <c r="F284" s="1">
        <v>9.36999988555908</v>
      </c>
      <c r="G284" s="1">
        <v>0.0</v>
      </c>
      <c r="H284" s="1">
        <v>0.0</v>
      </c>
      <c r="I284" s="1">
        <v>0.0</v>
      </c>
      <c r="J284" s="1">
        <v>9.36999988555908</v>
      </c>
      <c r="K284" s="1">
        <v>0.0</v>
      </c>
      <c r="L284" s="1">
        <v>0.0</v>
      </c>
      <c r="M284" s="1">
        <v>0.0</v>
      </c>
      <c r="N284" s="1">
        <v>491.0</v>
      </c>
      <c r="O284" s="1">
        <v>388.0</v>
      </c>
      <c r="P284" s="1">
        <v>2694.0</v>
      </c>
    </row>
    <row r="285">
      <c r="A285" s="1">
        <v>6.11766616E9</v>
      </c>
      <c r="B285" s="2">
        <v>42404.0</v>
      </c>
      <c r="C285" s="2" t="str">
        <f t="shared" si="1"/>
        <v>Thursday</v>
      </c>
      <c r="D285" s="1">
        <v>19658.0</v>
      </c>
      <c r="E285" s="1">
        <v>14.8400001525879</v>
      </c>
      <c r="F285" s="1">
        <v>14.8400001525879</v>
      </c>
      <c r="G285" s="1">
        <v>0.0</v>
      </c>
      <c r="H285" s="1">
        <v>0.239999994635582</v>
      </c>
      <c r="I285" s="1">
        <v>2.08999991416931</v>
      </c>
      <c r="J285" s="1">
        <v>12.5100002288818</v>
      </c>
      <c r="K285" s="1">
        <v>0.0</v>
      </c>
      <c r="L285" s="1">
        <v>3.0</v>
      </c>
      <c r="M285" s="1">
        <v>30.0</v>
      </c>
      <c r="N285" s="1">
        <v>475.0</v>
      </c>
      <c r="O285" s="1">
        <v>466.0</v>
      </c>
      <c r="P285" s="1">
        <v>2884.0</v>
      </c>
    </row>
    <row r="286">
      <c r="A286" s="1">
        <v>6.290855005E9</v>
      </c>
      <c r="B286" s="2">
        <v>42373.0</v>
      </c>
      <c r="C286" s="2" t="str">
        <f t="shared" si="1"/>
        <v>Monday</v>
      </c>
      <c r="D286" s="1">
        <v>6633.0</v>
      </c>
      <c r="E286" s="1">
        <v>5.01000022888184</v>
      </c>
      <c r="F286" s="1">
        <v>5.01000022888184</v>
      </c>
      <c r="G286" s="1">
        <v>0.0</v>
      </c>
      <c r="H286" s="1">
        <v>0.0</v>
      </c>
      <c r="I286" s="1">
        <v>0.0</v>
      </c>
      <c r="J286" s="1">
        <v>5.01000022888184</v>
      </c>
      <c r="K286" s="1">
        <v>0.0</v>
      </c>
      <c r="L286" s="1">
        <v>0.0</v>
      </c>
      <c r="M286" s="1">
        <v>0.0</v>
      </c>
      <c r="N286" s="1">
        <v>280.0</v>
      </c>
      <c r="O286" s="1">
        <v>1160.0</v>
      </c>
      <c r="P286" s="1">
        <v>2778.0</v>
      </c>
    </row>
    <row r="287">
      <c r="A287" s="1">
        <v>6.290855005E9</v>
      </c>
      <c r="B287" s="2">
        <v>42404.0</v>
      </c>
      <c r="C287" s="2" t="str">
        <f t="shared" si="1"/>
        <v>Thursday</v>
      </c>
      <c r="D287" s="1">
        <v>9548.0</v>
      </c>
      <c r="E287" s="1">
        <v>7.21999979019165</v>
      </c>
      <c r="F287" s="1">
        <v>7.21999979019165</v>
      </c>
      <c r="G287" s="1">
        <v>0.0</v>
      </c>
      <c r="H287" s="1">
        <v>2.01999998092651</v>
      </c>
      <c r="I287" s="1">
        <v>3.6800000667572</v>
      </c>
      <c r="J287" s="1">
        <v>1.51999998092651</v>
      </c>
      <c r="K287" s="1">
        <v>0.0</v>
      </c>
      <c r="L287" s="1">
        <v>25.0</v>
      </c>
      <c r="M287" s="1">
        <v>107.0</v>
      </c>
      <c r="N287" s="1">
        <v>113.0</v>
      </c>
      <c r="O287" s="1">
        <v>1195.0</v>
      </c>
      <c r="P287" s="1">
        <v>3119.0</v>
      </c>
    </row>
    <row r="288">
      <c r="A288" s="1">
        <v>6.391747486E9</v>
      </c>
      <c r="B288" s="2">
        <v>42525.0</v>
      </c>
      <c r="C288" s="2" t="str">
        <f t="shared" si="1"/>
        <v>Saturday</v>
      </c>
      <c r="D288" s="1">
        <v>165.0</v>
      </c>
      <c r="E288" s="1">
        <v>0.129999995231628</v>
      </c>
      <c r="F288" s="1">
        <v>0.129999995231628</v>
      </c>
      <c r="G288" s="1">
        <v>0.0</v>
      </c>
      <c r="H288" s="1">
        <v>0.0</v>
      </c>
      <c r="I288" s="1">
        <v>0.0</v>
      </c>
      <c r="J288" s="1">
        <v>0.129999995231628</v>
      </c>
      <c r="K288" s="1">
        <v>0.0</v>
      </c>
      <c r="L288" s="1">
        <v>0.0</v>
      </c>
      <c r="M288" s="1">
        <v>0.0</v>
      </c>
      <c r="N288" s="1">
        <v>8.0</v>
      </c>
      <c r="O288" s="1">
        <v>1432.0</v>
      </c>
      <c r="P288" s="1">
        <v>1849.0</v>
      </c>
    </row>
    <row r="289">
      <c r="A289" s="1">
        <v>6.391747486E9</v>
      </c>
      <c r="B289" s="2">
        <v>42404.0</v>
      </c>
      <c r="C289" s="2" t="str">
        <f t="shared" si="1"/>
        <v>Thursday</v>
      </c>
      <c r="D289" s="1">
        <v>2101.0</v>
      </c>
      <c r="E289" s="1">
        <v>2.02999997138977</v>
      </c>
      <c r="F289" s="1">
        <v>0.0</v>
      </c>
      <c r="G289" s="1">
        <v>2.02777290344238</v>
      </c>
      <c r="H289" s="1">
        <v>2.02999997138977</v>
      </c>
      <c r="I289" s="1">
        <v>0.0</v>
      </c>
      <c r="J289" s="1">
        <v>0.0</v>
      </c>
      <c r="K289" s="1">
        <v>0.0</v>
      </c>
      <c r="L289" s="1">
        <v>46.0</v>
      </c>
      <c r="M289" s="1">
        <v>0.0</v>
      </c>
      <c r="N289" s="1">
        <v>0.0</v>
      </c>
      <c r="O289" s="1">
        <v>1394.0</v>
      </c>
      <c r="P289" s="1">
        <v>2224.0</v>
      </c>
    </row>
    <row r="290">
      <c r="A290" s="1">
        <v>6.391747486E9</v>
      </c>
      <c r="B290" s="2">
        <v>42494.0</v>
      </c>
      <c r="C290" s="2" t="str">
        <f t="shared" si="1"/>
        <v>Wednesday</v>
      </c>
      <c r="D290" s="1">
        <v>9766.0</v>
      </c>
      <c r="E290" s="1">
        <v>7.51000022888184</v>
      </c>
      <c r="F290" s="1">
        <v>0.779999971389771</v>
      </c>
      <c r="G290" s="1">
        <v>6.72705698013306</v>
      </c>
      <c r="H290" s="1">
        <v>0.0</v>
      </c>
      <c r="I290" s="1">
        <v>0.0500000007450581</v>
      </c>
      <c r="J290" s="1">
        <v>7.46000003814697</v>
      </c>
      <c r="K290" s="1">
        <v>0.0</v>
      </c>
      <c r="L290" s="1">
        <v>0.0</v>
      </c>
      <c r="M290" s="1">
        <v>6.0</v>
      </c>
      <c r="N290" s="1">
        <v>301.0</v>
      </c>
      <c r="O290" s="1">
        <v>1133.0</v>
      </c>
      <c r="P290" s="1">
        <v>2442.0</v>
      </c>
    </row>
    <row r="291">
      <c r="A291" s="1">
        <v>6.775888955E9</v>
      </c>
      <c r="B291" s="2">
        <v>42617.0</v>
      </c>
      <c r="C291" s="2" t="str">
        <f t="shared" si="1"/>
        <v>Sunday</v>
      </c>
      <c r="D291" s="1">
        <v>14.0</v>
      </c>
      <c r="E291" s="1">
        <v>0.00999999977648258</v>
      </c>
      <c r="F291" s="1">
        <v>0.00999999977648258</v>
      </c>
      <c r="G291" s="1">
        <v>0.0</v>
      </c>
      <c r="H291" s="1">
        <v>0.0</v>
      </c>
      <c r="I291" s="1">
        <v>0.0</v>
      </c>
      <c r="J291" s="1">
        <v>0.00999999977648258</v>
      </c>
      <c r="K291" s="1">
        <v>0.0</v>
      </c>
      <c r="L291" s="1">
        <v>0.0</v>
      </c>
      <c r="M291" s="1">
        <v>0.0</v>
      </c>
      <c r="N291" s="1">
        <v>1.0</v>
      </c>
      <c r="O291" s="1">
        <v>601.0</v>
      </c>
      <c r="P291" s="1">
        <v>787.0</v>
      </c>
    </row>
    <row r="292">
      <c r="A292" s="1">
        <v>6.775888955E9</v>
      </c>
      <c r="B292" s="2">
        <v>42433.0</v>
      </c>
      <c r="C292" s="2" t="str">
        <f t="shared" si="1"/>
        <v>Friday</v>
      </c>
      <c r="D292" s="1">
        <v>1577.0</v>
      </c>
      <c r="E292" s="1">
        <v>1.12999999523163</v>
      </c>
      <c r="F292" s="1">
        <v>1.12999999523163</v>
      </c>
      <c r="G292" s="1">
        <v>0.0</v>
      </c>
      <c r="H292" s="1">
        <v>0.0700000002980232</v>
      </c>
      <c r="I292" s="1">
        <v>0.889999985694885</v>
      </c>
      <c r="J292" s="1">
        <v>0.170000001788139</v>
      </c>
      <c r="K292" s="1">
        <v>0.0</v>
      </c>
      <c r="L292" s="1">
        <v>1.0</v>
      </c>
      <c r="M292" s="1">
        <v>17.0</v>
      </c>
      <c r="N292" s="1">
        <v>8.0</v>
      </c>
      <c r="O292" s="1">
        <v>1414.0</v>
      </c>
      <c r="P292" s="1">
        <v>1977.0</v>
      </c>
    </row>
    <row r="293">
      <c r="A293" s="1">
        <v>6.775888955E9</v>
      </c>
      <c r="B293" s="2">
        <v>42404.0</v>
      </c>
      <c r="C293" s="2" t="str">
        <f t="shared" si="1"/>
        <v>Thursday</v>
      </c>
      <c r="D293" s="1">
        <v>1988.0</v>
      </c>
      <c r="E293" s="1">
        <v>1.42999994754791</v>
      </c>
      <c r="F293" s="1">
        <v>1.42999994754791</v>
      </c>
      <c r="G293" s="1">
        <v>0.0</v>
      </c>
      <c r="H293" s="1">
        <v>0.0</v>
      </c>
      <c r="I293" s="1">
        <v>0.0</v>
      </c>
      <c r="J293" s="1">
        <v>1.42999994754791</v>
      </c>
      <c r="K293" s="1">
        <v>0.0</v>
      </c>
      <c r="L293" s="1">
        <v>0.0</v>
      </c>
      <c r="M293" s="1">
        <v>0.0</v>
      </c>
      <c r="N293" s="1">
        <v>79.0</v>
      </c>
      <c r="O293" s="1">
        <v>909.0</v>
      </c>
      <c r="P293" s="1">
        <v>2207.0</v>
      </c>
    </row>
    <row r="294">
      <c r="A294" s="1">
        <v>6.775888955E9</v>
      </c>
      <c r="B294" s="2">
        <v>42586.0</v>
      </c>
      <c r="C294" s="2" t="str">
        <f t="shared" si="1"/>
        <v>Thursday</v>
      </c>
      <c r="D294" s="1">
        <v>4131.0</v>
      </c>
      <c r="E294" s="1">
        <v>2.96000003814697</v>
      </c>
      <c r="F294" s="1">
        <v>2.96000003814697</v>
      </c>
      <c r="G294" s="1">
        <v>0.0</v>
      </c>
      <c r="H294" s="1">
        <v>1.37000000476837</v>
      </c>
      <c r="I294" s="1">
        <v>0.610000014305115</v>
      </c>
      <c r="J294" s="1">
        <v>0.980000019073486</v>
      </c>
      <c r="K294" s="1">
        <v>0.0</v>
      </c>
      <c r="L294" s="1">
        <v>27.0</v>
      </c>
      <c r="M294" s="1">
        <v>30.0</v>
      </c>
      <c r="N294" s="1">
        <v>75.0</v>
      </c>
      <c r="O294" s="1">
        <v>1308.0</v>
      </c>
      <c r="P294" s="1">
        <v>2584.0</v>
      </c>
    </row>
    <row r="295">
      <c r="A295" s="1">
        <v>6.775888955E9</v>
      </c>
      <c r="B295" s="2">
        <v>42373.0</v>
      </c>
      <c r="C295" s="2" t="str">
        <f t="shared" si="1"/>
        <v>Monday</v>
      </c>
      <c r="D295" s="1">
        <v>7225.0</v>
      </c>
      <c r="E295" s="1">
        <v>5.17999982833862</v>
      </c>
      <c r="F295" s="1">
        <v>5.17999982833862</v>
      </c>
      <c r="G295" s="1">
        <v>0.0</v>
      </c>
      <c r="H295" s="1">
        <v>1.73000001907349</v>
      </c>
      <c r="I295" s="1">
        <v>1.26999998092651</v>
      </c>
      <c r="J295" s="1">
        <v>2.1800000667572</v>
      </c>
      <c r="K295" s="1">
        <v>0.0</v>
      </c>
      <c r="L295" s="1">
        <v>25.0</v>
      </c>
      <c r="M295" s="1">
        <v>50.0</v>
      </c>
      <c r="N295" s="1">
        <v>163.0</v>
      </c>
      <c r="O295" s="1">
        <v>1189.0</v>
      </c>
      <c r="P295" s="1">
        <v>3065.0</v>
      </c>
    </row>
    <row r="296">
      <c r="A296" s="1">
        <v>6.775888955E9</v>
      </c>
      <c r="B296" s="2">
        <v>42494.0</v>
      </c>
      <c r="C296" s="2" t="str">
        <f t="shared" si="1"/>
        <v>Wednesday</v>
      </c>
      <c r="D296" s="1">
        <v>9348.0</v>
      </c>
      <c r="E296" s="1">
        <v>6.69999980926514</v>
      </c>
      <c r="F296" s="1">
        <v>6.69999980926514</v>
      </c>
      <c r="G296" s="1">
        <v>0.0</v>
      </c>
      <c r="H296" s="1">
        <v>1.12999999523163</v>
      </c>
      <c r="I296" s="1">
        <v>2.03999996185303</v>
      </c>
      <c r="J296" s="1">
        <v>3.14000010490417</v>
      </c>
      <c r="K296" s="1">
        <v>0.0</v>
      </c>
      <c r="L296" s="1">
        <v>56.0</v>
      </c>
      <c r="M296" s="1">
        <v>133.0</v>
      </c>
      <c r="N296" s="1">
        <v>240.0</v>
      </c>
      <c r="O296" s="1">
        <v>1011.0</v>
      </c>
      <c r="P296" s="1">
        <v>4286.0</v>
      </c>
    </row>
    <row r="297">
      <c r="A297" s="1">
        <v>6.775888955E9</v>
      </c>
      <c r="B297" s="2">
        <v>42525.0</v>
      </c>
      <c r="C297" s="2" t="str">
        <f t="shared" si="1"/>
        <v>Saturday</v>
      </c>
      <c r="D297" s="1">
        <v>11761.0</v>
      </c>
      <c r="E297" s="1">
        <v>8.43000030517578</v>
      </c>
      <c r="F297" s="1">
        <v>8.43000030517578</v>
      </c>
      <c r="G297" s="1">
        <v>0.0</v>
      </c>
      <c r="H297" s="1">
        <v>1.30999994277954</v>
      </c>
      <c r="I297" s="1">
        <v>2.44000005722046</v>
      </c>
      <c r="J297" s="1">
        <v>4.67999982833862</v>
      </c>
      <c r="K297" s="1">
        <v>0.0</v>
      </c>
      <c r="L297" s="1">
        <v>24.0</v>
      </c>
      <c r="M297" s="1">
        <v>99.0</v>
      </c>
      <c r="N297" s="1">
        <v>300.0</v>
      </c>
      <c r="O297" s="1">
        <v>550.0</v>
      </c>
      <c r="P297" s="1">
        <v>3920.0</v>
      </c>
    </row>
    <row r="298">
      <c r="A298" s="1">
        <v>6.775888955E9</v>
      </c>
      <c r="B298" s="2">
        <v>42555.0</v>
      </c>
      <c r="C298" s="2" t="str">
        <f t="shared" si="1"/>
        <v>Monday</v>
      </c>
      <c r="D298" s="1">
        <v>13987.0</v>
      </c>
      <c r="E298" s="1">
        <v>10.0299997329712</v>
      </c>
      <c r="F298" s="1">
        <v>10.0299997329712</v>
      </c>
      <c r="G298" s="1">
        <v>0.0</v>
      </c>
      <c r="H298" s="1">
        <v>2.86999988555908</v>
      </c>
      <c r="I298" s="1">
        <v>3.33999991416931</v>
      </c>
      <c r="J298" s="1">
        <v>3.8199999332428</v>
      </c>
      <c r="K298" s="1">
        <v>0.0</v>
      </c>
      <c r="L298" s="1">
        <v>46.0</v>
      </c>
      <c r="M298" s="1">
        <v>114.0</v>
      </c>
      <c r="N298" s="1">
        <v>250.0</v>
      </c>
      <c r="O298" s="1">
        <v>739.0</v>
      </c>
      <c r="P298" s="1">
        <v>3856.0</v>
      </c>
    </row>
    <row r="299">
      <c r="A299" s="1">
        <v>6.962181067E9</v>
      </c>
      <c r="B299" s="2">
        <v>42708.0</v>
      </c>
      <c r="C299" s="2" t="str">
        <f t="shared" si="1"/>
        <v>Sunday</v>
      </c>
      <c r="D299" s="1">
        <v>5893.0</v>
      </c>
      <c r="E299" s="1">
        <v>3.90000009536743</v>
      </c>
      <c r="F299" s="1">
        <v>3.90000009536743</v>
      </c>
      <c r="G299" s="1">
        <v>0.0</v>
      </c>
      <c r="H299" s="1">
        <v>2.88000011444092</v>
      </c>
      <c r="I299" s="1">
        <v>0.560000002384186</v>
      </c>
      <c r="J299" s="1">
        <v>0.46000000834465</v>
      </c>
      <c r="K299" s="1">
        <v>0.0</v>
      </c>
      <c r="L299" s="1">
        <v>43.0</v>
      </c>
      <c r="M299" s="1">
        <v>9.0</v>
      </c>
      <c r="N299" s="1">
        <v>48.0</v>
      </c>
      <c r="O299" s="1">
        <v>146.0</v>
      </c>
      <c r="P299" s="1">
        <v>917.0</v>
      </c>
    </row>
    <row r="300">
      <c r="A300" s="1">
        <v>6.962181067E9</v>
      </c>
      <c r="B300" s="2">
        <v>42647.0</v>
      </c>
      <c r="C300" s="2" t="str">
        <f t="shared" si="1"/>
        <v>Tuesday</v>
      </c>
      <c r="D300" s="1">
        <v>10148.0</v>
      </c>
      <c r="E300" s="1">
        <v>6.71000003814697</v>
      </c>
      <c r="F300" s="1">
        <v>6.71000003814697</v>
      </c>
      <c r="G300" s="1">
        <v>0.0</v>
      </c>
      <c r="H300" s="1">
        <v>1.36000001430511</v>
      </c>
      <c r="I300" s="1">
        <v>0.219999998807907</v>
      </c>
      <c r="J300" s="1">
        <v>5.13000011444092</v>
      </c>
      <c r="K300" s="1">
        <v>0.0</v>
      </c>
      <c r="L300" s="1">
        <v>19.0</v>
      </c>
      <c r="M300" s="1">
        <v>7.0</v>
      </c>
      <c r="N300" s="1">
        <v>306.0</v>
      </c>
      <c r="O300" s="1">
        <v>679.0</v>
      </c>
      <c r="P300" s="1">
        <v>2100.0</v>
      </c>
    </row>
    <row r="301">
      <c r="A301" s="1">
        <v>6.962181067E9</v>
      </c>
      <c r="B301" s="2">
        <v>42373.0</v>
      </c>
      <c r="C301" s="2" t="str">
        <f t="shared" si="1"/>
        <v>Monday</v>
      </c>
      <c r="D301" s="1">
        <v>10467.0</v>
      </c>
      <c r="E301" s="1">
        <v>6.98000001907349</v>
      </c>
      <c r="F301" s="1">
        <v>6.98000001907349</v>
      </c>
      <c r="G301" s="1">
        <v>0.0</v>
      </c>
      <c r="H301" s="1">
        <v>0.699999988079071</v>
      </c>
      <c r="I301" s="1">
        <v>2.4300000667572</v>
      </c>
      <c r="J301" s="1">
        <v>3.84999990463257</v>
      </c>
      <c r="K301" s="1">
        <v>0.0</v>
      </c>
      <c r="L301" s="1">
        <v>9.0</v>
      </c>
      <c r="M301" s="1">
        <v>45.0</v>
      </c>
      <c r="N301" s="1">
        <v>252.0</v>
      </c>
      <c r="O301" s="1">
        <v>602.0</v>
      </c>
      <c r="P301" s="1">
        <v>2014.0</v>
      </c>
    </row>
    <row r="302">
      <c r="A302" s="1">
        <v>6.962181067E9</v>
      </c>
      <c r="B302" s="2">
        <v>42494.0</v>
      </c>
      <c r="C302" s="2" t="str">
        <f t="shared" si="1"/>
        <v>Wednesday</v>
      </c>
      <c r="D302" s="1">
        <v>12010.0</v>
      </c>
      <c r="E302" s="1">
        <v>7.94000005722046</v>
      </c>
      <c r="F302" s="1">
        <v>7.94000005722046</v>
      </c>
      <c r="G302" s="1">
        <v>0.0</v>
      </c>
      <c r="H302" s="1">
        <v>2.38000011444092</v>
      </c>
      <c r="I302" s="1">
        <v>0.949999988079071</v>
      </c>
      <c r="J302" s="1">
        <v>4.6100001335144</v>
      </c>
      <c r="K302" s="1">
        <v>0.0</v>
      </c>
      <c r="L302" s="1">
        <v>38.0</v>
      </c>
      <c r="M302" s="1">
        <v>17.0</v>
      </c>
      <c r="N302" s="1">
        <v>287.0</v>
      </c>
      <c r="O302" s="1">
        <v>692.0</v>
      </c>
      <c r="P302" s="1">
        <v>2158.0</v>
      </c>
    </row>
    <row r="303">
      <c r="A303" s="1">
        <v>6.962181067E9</v>
      </c>
      <c r="B303" s="2">
        <v>42433.0</v>
      </c>
      <c r="C303" s="2" t="str">
        <f t="shared" si="1"/>
        <v>Friday</v>
      </c>
      <c r="D303" s="1">
        <v>12307.0</v>
      </c>
      <c r="E303" s="1">
        <v>8.14000034332275</v>
      </c>
      <c r="F303" s="1">
        <v>8.14000034332275</v>
      </c>
      <c r="G303" s="1">
        <v>0.0</v>
      </c>
      <c r="H303" s="1">
        <v>1.00999999046326</v>
      </c>
      <c r="I303" s="1">
        <v>3.25999999046326</v>
      </c>
      <c r="J303" s="1">
        <v>3.86999988555908</v>
      </c>
      <c r="K303" s="1">
        <v>0.0</v>
      </c>
      <c r="L303" s="1">
        <v>14.0</v>
      </c>
      <c r="M303" s="1">
        <v>51.0</v>
      </c>
      <c r="N303" s="1">
        <v>218.0</v>
      </c>
      <c r="O303" s="1">
        <v>589.0</v>
      </c>
      <c r="P303" s="1">
        <v>2055.0</v>
      </c>
    </row>
    <row r="304">
      <c r="A304" s="1">
        <v>6.962181067E9</v>
      </c>
      <c r="B304" s="2">
        <v>42678.0</v>
      </c>
      <c r="C304" s="2" t="str">
        <f t="shared" si="1"/>
        <v>Friday</v>
      </c>
      <c r="D304" s="1">
        <v>12362.0</v>
      </c>
      <c r="E304" s="1">
        <v>9.09000015258789</v>
      </c>
      <c r="F304" s="1">
        <v>8.17000007629395</v>
      </c>
      <c r="G304" s="1">
        <v>2.69645500183105</v>
      </c>
      <c r="H304" s="1">
        <v>1.0900000333786</v>
      </c>
      <c r="I304" s="1">
        <v>2.73000001907349</v>
      </c>
      <c r="J304" s="1">
        <v>5.26999998092651</v>
      </c>
      <c r="K304" s="1">
        <v>0.0</v>
      </c>
      <c r="L304" s="1">
        <v>21.0</v>
      </c>
      <c r="M304" s="1">
        <v>38.0</v>
      </c>
      <c r="N304" s="1">
        <v>297.0</v>
      </c>
      <c r="O304" s="1">
        <v>678.0</v>
      </c>
      <c r="P304" s="1">
        <v>2188.0</v>
      </c>
    </row>
    <row r="305">
      <c r="A305" s="1">
        <v>6.962181067E9</v>
      </c>
      <c r="B305" s="2">
        <v>42404.0</v>
      </c>
      <c r="C305" s="2" t="str">
        <f t="shared" si="1"/>
        <v>Thursday</v>
      </c>
      <c r="D305" s="1">
        <v>12437.0</v>
      </c>
      <c r="E305" s="1">
        <v>8.30000019073486</v>
      </c>
      <c r="F305" s="1">
        <v>8.30000019073486</v>
      </c>
      <c r="G305" s="1">
        <v>0.0</v>
      </c>
      <c r="H305" s="1">
        <v>3.75999999046326</v>
      </c>
      <c r="I305" s="1">
        <v>1.28999996185303</v>
      </c>
      <c r="J305" s="1">
        <v>3.24000000953674</v>
      </c>
      <c r="K305" s="1">
        <v>0.0</v>
      </c>
      <c r="L305" s="1">
        <v>50.0</v>
      </c>
      <c r="M305" s="1">
        <v>24.0</v>
      </c>
      <c r="N305" s="1">
        <v>219.0</v>
      </c>
      <c r="O305" s="1">
        <v>732.0</v>
      </c>
      <c r="P305" s="1">
        <v>2115.0</v>
      </c>
    </row>
    <row r="306">
      <c r="A306" s="1">
        <v>6.962181067E9</v>
      </c>
      <c r="B306" s="2">
        <v>42525.0</v>
      </c>
      <c r="C306" s="2" t="str">
        <f t="shared" si="1"/>
        <v>Saturday</v>
      </c>
      <c r="D306" s="1">
        <v>12480.0</v>
      </c>
      <c r="E306" s="1">
        <v>8.85999965667725</v>
      </c>
      <c r="F306" s="1">
        <v>8.25</v>
      </c>
      <c r="G306" s="1">
        <v>3.97279500961304</v>
      </c>
      <c r="H306" s="1">
        <v>4.17999982833862</v>
      </c>
      <c r="I306" s="1">
        <v>0.689999997615814</v>
      </c>
      <c r="J306" s="1">
        <v>4.0</v>
      </c>
      <c r="K306" s="1">
        <v>0.0</v>
      </c>
      <c r="L306" s="1">
        <v>55.0</v>
      </c>
      <c r="M306" s="1">
        <v>14.0</v>
      </c>
      <c r="N306" s="1">
        <v>276.0</v>
      </c>
      <c r="O306" s="1">
        <v>593.0</v>
      </c>
      <c r="P306" s="1">
        <v>2170.0</v>
      </c>
    </row>
    <row r="307">
      <c r="A307" s="1">
        <v>6.962181067E9</v>
      </c>
      <c r="B307" s="2">
        <v>42617.0</v>
      </c>
      <c r="C307" s="2" t="str">
        <f t="shared" si="1"/>
        <v>Sunday</v>
      </c>
      <c r="D307" s="1">
        <v>12495.0</v>
      </c>
      <c r="E307" s="1">
        <v>8.26000022888184</v>
      </c>
      <c r="F307" s="1">
        <v>8.26000022888184</v>
      </c>
      <c r="G307" s="1">
        <v>0.0</v>
      </c>
      <c r="H307" s="1">
        <v>2.21000003814697</v>
      </c>
      <c r="I307" s="1">
        <v>1.0900000333786</v>
      </c>
      <c r="J307" s="1">
        <v>4.96000003814697</v>
      </c>
      <c r="K307" s="1">
        <v>0.0</v>
      </c>
      <c r="L307" s="1">
        <v>33.0</v>
      </c>
      <c r="M307" s="1">
        <v>19.0</v>
      </c>
      <c r="N307" s="1">
        <v>324.0</v>
      </c>
      <c r="O307" s="1">
        <v>609.0</v>
      </c>
      <c r="P307" s="1">
        <v>2231.0</v>
      </c>
    </row>
    <row r="308">
      <c r="A308" s="1">
        <v>6.962181067E9</v>
      </c>
      <c r="B308" s="2">
        <v>42555.0</v>
      </c>
      <c r="C308" s="2" t="str">
        <f t="shared" si="1"/>
        <v>Monday</v>
      </c>
      <c r="D308" s="1">
        <v>13417.0</v>
      </c>
      <c r="E308" s="1">
        <v>9.64999961853027</v>
      </c>
      <c r="F308" s="1">
        <v>8.86999988555908</v>
      </c>
      <c r="G308" s="1">
        <v>1.92630195617676</v>
      </c>
      <c r="H308" s="1">
        <v>3.39000010490417</v>
      </c>
      <c r="I308" s="1">
        <v>1.25</v>
      </c>
      <c r="J308" s="1">
        <v>4.90999984741211</v>
      </c>
      <c r="K308" s="1">
        <v>0.100000001490116</v>
      </c>
      <c r="L308" s="1">
        <v>45.0</v>
      </c>
      <c r="M308" s="1">
        <v>16.0</v>
      </c>
      <c r="N308" s="1">
        <v>284.0</v>
      </c>
      <c r="O308" s="1">
        <v>665.0</v>
      </c>
      <c r="P308" s="1">
        <v>2244.0</v>
      </c>
    </row>
    <row r="309">
      <c r="A309" s="1">
        <v>6.962181067E9</v>
      </c>
      <c r="B309" s="2" t="s">
        <v>20</v>
      </c>
      <c r="C309" s="2" t="str">
        <f t="shared" si="1"/>
        <v>Thursday</v>
      </c>
      <c r="D309" s="1">
        <v>14097.0</v>
      </c>
      <c r="E309" s="1">
        <v>9.31999969482422</v>
      </c>
      <c r="F309" s="1">
        <v>9.31999969482422</v>
      </c>
      <c r="G309" s="1">
        <v>0.0</v>
      </c>
      <c r="H309" s="1">
        <v>3.5</v>
      </c>
      <c r="I309" s="1">
        <v>1.91999995708466</v>
      </c>
      <c r="J309" s="1">
        <v>3.90000009536743</v>
      </c>
      <c r="K309" s="1">
        <v>0.0</v>
      </c>
      <c r="L309" s="1">
        <v>50.0</v>
      </c>
      <c r="M309" s="1">
        <v>32.0</v>
      </c>
      <c r="N309" s="1">
        <v>234.0</v>
      </c>
      <c r="O309" s="1">
        <v>595.0</v>
      </c>
      <c r="P309" s="1">
        <v>2188.0</v>
      </c>
    </row>
    <row r="310">
      <c r="A310" s="1">
        <v>6.962181067E9</v>
      </c>
      <c r="B310" s="2">
        <v>42586.0</v>
      </c>
      <c r="C310" s="2" t="str">
        <f t="shared" si="1"/>
        <v>Thursday</v>
      </c>
      <c r="D310" s="1">
        <v>14400.0</v>
      </c>
      <c r="E310" s="1">
        <v>10.8800001144409</v>
      </c>
      <c r="F310" s="1">
        <v>9.52000045776367</v>
      </c>
      <c r="G310" s="1">
        <v>5.45686388015747</v>
      </c>
      <c r="H310" s="1">
        <v>2.47000002861023</v>
      </c>
      <c r="I310" s="1">
        <v>2.88000011444092</v>
      </c>
      <c r="J310" s="1">
        <v>5.53000020980835</v>
      </c>
      <c r="K310" s="1">
        <v>0.0</v>
      </c>
      <c r="L310" s="1">
        <v>27.0</v>
      </c>
      <c r="M310" s="1">
        <v>37.0</v>
      </c>
      <c r="N310" s="1">
        <v>276.0</v>
      </c>
      <c r="O310" s="1">
        <v>697.0</v>
      </c>
      <c r="P310" s="1">
        <v>2188.0</v>
      </c>
    </row>
    <row r="311">
      <c r="A311" s="1">
        <v>6.962181067E9</v>
      </c>
      <c r="B311" s="2" t="s">
        <v>17</v>
      </c>
      <c r="C311" s="2" t="str">
        <f t="shared" si="1"/>
        <v>Wednesday</v>
      </c>
      <c r="D311" s="1">
        <v>15491.0</v>
      </c>
      <c r="E311" s="1">
        <v>10.2399997711182</v>
      </c>
      <c r="F311" s="1">
        <v>10.2399997711182</v>
      </c>
      <c r="G311" s="1">
        <v>0.0</v>
      </c>
      <c r="H311" s="1">
        <v>1.28999996185303</v>
      </c>
      <c r="I311" s="1">
        <v>4.48999977111816</v>
      </c>
      <c r="J311" s="1">
        <v>4.46000003814697</v>
      </c>
      <c r="K311" s="1">
        <v>0.0</v>
      </c>
      <c r="L311" s="1">
        <v>18.0</v>
      </c>
      <c r="M311" s="1">
        <v>77.0</v>
      </c>
      <c r="N311" s="1">
        <v>272.0</v>
      </c>
      <c r="O311" s="1">
        <v>641.0</v>
      </c>
      <c r="P311" s="1">
        <v>2244.0</v>
      </c>
    </row>
    <row r="312">
      <c r="A312" s="1">
        <v>6.962181067E9</v>
      </c>
      <c r="B312" s="2">
        <v>42464.0</v>
      </c>
      <c r="C312" s="2" t="str">
        <f t="shared" si="1"/>
        <v>Monday</v>
      </c>
      <c r="D312" s="1">
        <v>18952.0</v>
      </c>
      <c r="E312" s="1">
        <v>12.8000001907349</v>
      </c>
      <c r="F312" s="1">
        <v>12.8000001907349</v>
      </c>
      <c r="G312" s="1">
        <v>0.0</v>
      </c>
      <c r="H312" s="1">
        <v>5.90999984741211</v>
      </c>
      <c r="I312" s="1">
        <v>1.23000001907349</v>
      </c>
      <c r="J312" s="1">
        <v>5.65999984741211</v>
      </c>
      <c r="K312" s="1">
        <v>0.0</v>
      </c>
      <c r="L312" s="1">
        <v>73.0</v>
      </c>
      <c r="M312" s="1">
        <v>20.0</v>
      </c>
      <c r="N312" s="1">
        <v>327.0</v>
      </c>
      <c r="O312" s="1">
        <v>570.0</v>
      </c>
      <c r="P312" s="1">
        <v>2437.0</v>
      </c>
    </row>
    <row r="313">
      <c r="A313" s="1">
        <v>7.007744171E9</v>
      </c>
      <c r="B313" s="2">
        <v>42708.0</v>
      </c>
      <c r="C313" s="2" t="str">
        <f t="shared" si="1"/>
        <v>Sunday</v>
      </c>
      <c r="D313" s="1">
        <v>7413.0</v>
      </c>
      <c r="E313" s="1">
        <v>5.76999998092651</v>
      </c>
      <c r="F313" s="1">
        <v>4.96000003814697</v>
      </c>
      <c r="G313" s="1">
        <v>4.8697829246521</v>
      </c>
      <c r="H313" s="1">
        <v>4.5</v>
      </c>
      <c r="I313" s="1">
        <v>0.340000003576279</v>
      </c>
      <c r="J313" s="1">
        <v>0.939999997615814</v>
      </c>
      <c r="K313" s="1">
        <v>0.0</v>
      </c>
      <c r="L313" s="1">
        <v>53.0</v>
      </c>
      <c r="M313" s="1">
        <v>6.0</v>
      </c>
      <c r="N313" s="1">
        <v>43.0</v>
      </c>
      <c r="O313" s="1">
        <v>405.0</v>
      </c>
      <c r="P313" s="1">
        <v>1023.0</v>
      </c>
    </row>
    <row r="314">
      <c r="A314" s="1">
        <v>7.007744171E9</v>
      </c>
      <c r="B314" s="2">
        <v>42647.0</v>
      </c>
      <c r="C314" s="2" t="str">
        <f t="shared" si="1"/>
        <v>Tuesday</v>
      </c>
      <c r="D314" s="1">
        <v>10146.0</v>
      </c>
      <c r="E314" s="1">
        <v>6.78999996185303</v>
      </c>
      <c r="F314" s="1">
        <v>6.78999996185303</v>
      </c>
      <c r="G314" s="1">
        <v>0.0</v>
      </c>
      <c r="H314" s="1">
        <v>0.0700000002980232</v>
      </c>
      <c r="I314" s="1">
        <v>0.610000014305115</v>
      </c>
      <c r="J314" s="1">
        <v>6.1100001335144</v>
      </c>
      <c r="K314" s="1">
        <v>0.0</v>
      </c>
      <c r="L314" s="1">
        <v>1.0</v>
      </c>
      <c r="M314" s="1">
        <v>12.0</v>
      </c>
      <c r="N314" s="1">
        <v>397.0</v>
      </c>
      <c r="O314" s="1">
        <v>1030.0</v>
      </c>
      <c r="P314" s="1">
        <v>2700.0</v>
      </c>
    </row>
    <row r="315">
      <c r="A315" s="1">
        <v>7.007744171E9</v>
      </c>
      <c r="B315" s="2">
        <v>42617.0</v>
      </c>
      <c r="C315" s="2" t="str">
        <f t="shared" si="1"/>
        <v>Sunday</v>
      </c>
      <c r="D315" s="1">
        <v>10345.0</v>
      </c>
      <c r="E315" s="1">
        <v>6.92000007629395</v>
      </c>
      <c r="F315" s="1">
        <v>6.92000007629395</v>
      </c>
      <c r="G315" s="1">
        <v>0.0</v>
      </c>
      <c r="H315" s="1">
        <v>0.0700000002980232</v>
      </c>
      <c r="I315" s="1">
        <v>0.270000010728836</v>
      </c>
      <c r="J315" s="1">
        <v>6.57999992370605</v>
      </c>
      <c r="K315" s="1">
        <v>0.0</v>
      </c>
      <c r="L315" s="1">
        <v>2.0</v>
      </c>
      <c r="M315" s="1">
        <v>6.0</v>
      </c>
      <c r="N315" s="1">
        <v>358.0</v>
      </c>
      <c r="O315" s="1">
        <v>1074.0</v>
      </c>
      <c r="P315" s="1">
        <v>2613.0</v>
      </c>
    </row>
    <row r="316">
      <c r="A316" s="1">
        <v>7.007744171E9</v>
      </c>
      <c r="B316" s="2">
        <v>42404.0</v>
      </c>
      <c r="C316" s="2" t="str">
        <f t="shared" si="1"/>
        <v>Thursday</v>
      </c>
      <c r="D316" s="1">
        <v>10976.0</v>
      </c>
      <c r="E316" s="1">
        <v>7.34000015258789</v>
      </c>
      <c r="F316" s="1">
        <v>7.34000015258789</v>
      </c>
      <c r="G316" s="1">
        <v>0.0</v>
      </c>
      <c r="H316" s="1">
        <v>0.550000011920929</v>
      </c>
      <c r="I316" s="1">
        <v>0.670000016689301</v>
      </c>
      <c r="J316" s="1">
        <v>6.13000011444092</v>
      </c>
      <c r="K316" s="1">
        <v>0.0</v>
      </c>
      <c r="L316" s="1">
        <v>9.0</v>
      </c>
      <c r="M316" s="1">
        <v>16.0</v>
      </c>
      <c r="N316" s="1">
        <v>271.0</v>
      </c>
      <c r="O316" s="1">
        <v>1075.0</v>
      </c>
      <c r="P316" s="1">
        <v>2575.0</v>
      </c>
    </row>
    <row r="317">
      <c r="A317" s="1">
        <v>7.007744171E9</v>
      </c>
      <c r="B317" s="2">
        <v>42373.0</v>
      </c>
      <c r="C317" s="2" t="str">
        <f t="shared" si="1"/>
        <v>Monday</v>
      </c>
      <c r="D317" s="1">
        <v>11680.0</v>
      </c>
      <c r="E317" s="1">
        <v>9.0600004196167</v>
      </c>
      <c r="F317" s="1">
        <v>7.80999994277954</v>
      </c>
      <c r="G317" s="1">
        <v>4.901282787323</v>
      </c>
      <c r="H317" s="1">
        <v>4.48999977111816</v>
      </c>
      <c r="I317" s="1">
        <v>0.330000013113022</v>
      </c>
      <c r="J317" s="1">
        <v>4.23999977111816</v>
      </c>
      <c r="K317" s="1">
        <v>0.0</v>
      </c>
      <c r="L317" s="1">
        <v>50.0</v>
      </c>
      <c r="M317" s="1">
        <v>7.0</v>
      </c>
      <c r="N317" s="1">
        <v>244.0</v>
      </c>
      <c r="O317" s="1">
        <v>1139.0</v>
      </c>
      <c r="P317" s="1">
        <v>2573.0</v>
      </c>
    </row>
    <row r="318">
      <c r="A318" s="1">
        <v>7.007744171E9</v>
      </c>
      <c r="B318" s="2">
        <v>42494.0</v>
      </c>
      <c r="C318" s="2" t="str">
        <f t="shared" si="1"/>
        <v>Wednesday</v>
      </c>
      <c r="D318" s="1">
        <v>12084.0</v>
      </c>
      <c r="E318" s="1">
        <v>9.14000034332275</v>
      </c>
      <c r="F318" s="1">
        <v>8.07999992370605</v>
      </c>
      <c r="G318" s="1">
        <v>4.83638000488281</v>
      </c>
      <c r="H318" s="1">
        <v>4.3899998664856</v>
      </c>
      <c r="I318" s="1">
        <v>0.46000000834465</v>
      </c>
      <c r="J318" s="1">
        <v>4.28999996185303</v>
      </c>
      <c r="K318" s="1">
        <v>0.0</v>
      </c>
      <c r="L318" s="1">
        <v>50.0</v>
      </c>
      <c r="M318" s="1">
        <v>6.0</v>
      </c>
      <c r="N318" s="1">
        <v>284.0</v>
      </c>
      <c r="O318" s="1">
        <v>1030.0</v>
      </c>
      <c r="P318" s="1">
        <v>2676.0</v>
      </c>
    </row>
    <row r="319">
      <c r="A319" s="1">
        <v>7.007744171E9</v>
      </c>
      <c r="B319" s="2">
        <v>42678.0</v>
      </c>
      <c r="C319" s="2" t="str">
        <f t="shared" si="1"/>
        <v>Friday</v>
      </c>
      <c r="D319" s="1">
        <v>12168.0</v>
      </c>
      <c r="E319" s="1">
        <v>8.14000034332275</v>
      </c>
      <c r="F319" s="1">
        <v>8.14000034332275</v>
      </c>
      <c r="G319" s="1">
        <v>0.0</v>
      </c>
      <c r="H319" s="1">
        <v>1.04999995231628</v>
      </c>
      <c r="I319" s="1">
        <v>0.790000021457672</v>
      </c>
      <c r="J319" s="1">
        <v>6.28999996185303</v>
      </c>
      <c r="K319" s="1">
        <v>0.0</v>
      </c>
      <c r="L319" s="1">
        <v>18.0</v>
      </c>
      <c r="M319" s="1">
        <v>27.0</v>
      </c>
      <c r="N319" s="1">
        <v>375.0</v>
      </c>
      <c r="O319" s="1">
        <v>1020.0</v>
      </c>
      <c r="P319" s="1">
        <v>2871.0</v>
      </c>
    </row>
    <row r="320">
      <c r="A320" s="1">
        <v>7.007744171E9</v>
      </c>
      <c r="B320" s="2">
        <v>42586.0</v>
      </c>
      <c r="C320" s="2" t="str">
        <f t="shared" si="1"/>
        <v>Thursday</v>
      </c>
      <c r="D320" s="1">
        <v>12627.0</v>
      </c>
      <c r="E320" s="1">
        <v>9.64999961853027</v>
      </c>
      <c r="F320" s="1">
        <v>8.44999980926514</v>
      </c>
      <c r="G320" s="1">
        <v>4.84231996536255</v>
      </c>
      <c r="H320" s="1">
        <v>4.69999980926514</v>
      </c>
      <c r="I320" s="1">
        <v>0.740000009536743</v>
      </c>
      <c r="J320" s="1">
        <v>4.21000003814697</v>
      </c>
      <c r="K320" s="1">
        <v>0.0</v>
      </c>
      <c r="L320" s="1">
        <v>54.0</v>
      </c>
      <c r="M320" s="1">
        <v>22.0</v>
      </c>
      <c r="N320" s="1">
        <v>301.0</v>
      </c>
      <c r="O320" s="1">
        <v>1063.0</v>
      </c>
      <c r="P320" s="1">
        <v>2871.0</v>
      </c>
    </row>
    <row r="321">
      <c r="A321" s="1">
        <v>7.007744171E9</v>
      </c>
      <c r="B321" s="2">
        <v>42525.0</v>
      </c>
      <c r="C321" s="2" t="str">
        <f t="shared" si="1"/>
        <v>Saturday</v>
      </c>
      <c r="D321" s="1">
        <v>13513.0</v>
      </c>
      <c r="E321" s="1">
        <v>10.25</v>
      </c>
      <c r="F321" s="1">
        <v>9.06999969482422</v>
      </c>
      <c r="G321" s="1">
        <v>4.83572006225586</v>
      </c>
      <c r="H321" s="1">
        <v>5.34999990463257</v>
      </c>
      <c r="I321" s="1">
        <v>0.330000013113022</v>
      </c>
      <c r="J321" s="1">
        <v>4.55999994277954</v>
      </c>
      <c r="K321" s="1">
        <v>0.0</v>
      </c>
      <c r="L321" s="1">
        <v>64.0</v>
      </c>
      <c r="M321" s="1">
        <v>8.0</v>
      </c>
      <c r="N321" s="1">
        <v>270.0</v>
      </c>
      <c r="O321" s="1">
        <v>1098.0</v>
      </c>
      <c r="P321" s="1">
        <v>2811.0</v>
      </c>
    </row>
    <row r="322">
      <c r="A322" s="1">
        <v>7.007744171E9</v>
      </c>
      <c r="B322" s="2">
        <v>42555.0</v>
      </c>
      <c r="C322" s="2" t="str">
        <f t="shared" si="1"/>
        <v>Monday</v>
      </c>
      <c r="D322" s="1">
        <v>14100.0</v>
      </c>
      <c r="E322" s="1">
        <v>10.5799999237061</v>
      </c>
      <c r="F322" s="1">
        <v>9.43000030517578</v>
      </c>
      <c r="G322" s="1">
        <v>4.87598991394043</v>
      </c>
      <c r="H322" s="1">
        <v>5.09999990463257</v>
      </c>
      <c r="I322" s="1">
        <v>1.19000005722046</v>
      </c>
      <c r="J322" s="1">
        <v>4.28000020980835</v>
      </c>
      <c r="K322" s="1">
        <v>0.0</v>
      </c>
      <c r="L322" s="1">
        <v>61.0</v>
      </c>
      <c r="M322" s="1">
        <v>33.0</v>
      </c>
      <c r="N322" s="1">
        <v>265.0</v>
      </c>
      <c r="O322" s="1">
        <v>1015.0</v>
      </c>
      <c r="P322" s="1">
        <v>2840.0</v>
      </c>
    </row>
    <row r="323">
      <c r="A323" s="1">
        <v>7.007744171E9</v>
      </c>
      <c r="B323" s="2">
        <v>42464.0</v>
      </c>
      <c r="C323" s="2" t="str">
        <f t="shared" si="1"/>
        <v>Monday</v>
      </c>
      <c r="D323" s="1">
        <v>15266.0</v>
      </c>
      <c r="E323" s="1">
        <v>11.3999996185303</v>
      </c>
      <c r="F323" s="1">
        <v>10.210000038147</v>
      </c>
      <c r="G323" s="1">
        <v>5.18984985351563</v>
      </c>
      <c r="H323" s="1">
        <v>5.80000019073486</v>
      </c>
      <c r="I323" s="1">
        <v>0.759999990463257</v>
      </c>
      <c r="J323" s="1">
        <v>4.78999996185303</v>
      </c>
      <c r="K323" s="1">
        <v>0.0500000007450581</v>
      </c>
      <c r="L323" s="1">
        <v>70.0</v>
      </c>
      <c r="M323" s="1">
        <v>21.0</v>
      </c>
      <c r="N323" s="1">
        <v>292.0</v>
      </c>
      <c r="O323" s="1">
        <v>1057.0</v>
      </c>
      <c r="P323" s="1">
        <v>2886.0</v>
      </c>
    </row>
    <row r="324">
      <c r="A324" s="1">
        <v>7.007744171E9</v>
      </c>
      <c r="B324" s="2">
        <v>42433.0</v>
      </c>
      <c r="C324" s="2" t="str">
        <f t="shared" si="1"/>
        <v>Friday</v>
      </c>
      <c r="D324" s="1">
        <v>16806.0</v>
      </c>
      <c r="E324" s="1">
        <v>11.2399997711182</v>
      </c>
      <c r="F324" s="1">
        <v>11.2399997711182</v>
      </c>
      <c r="G324" s="1">
        <v>0.0</v>
      </c>
      <c r="H324" s="1">
        <v>6.40999984741211</v>
      </c>
      <c r="I324" s="1">
        <v>1.37000000476837</v>
      </c>
      <c r="J324" s="1">
        <v>3.47000002861023</v>
      </c>
      <c r="K324" s="1">
        <v>0.0</v>
      </c>
      <c r="L324" s="1">
        <v>104.0</v>
      </c>
      <c r="M324" s="1">
        <v>31.0</v>
      </c>
      <c r="N324" s="1">
        <v>230.0</v>
      </c>
      <c r="O324" s="1">
        <v>1002.0</v>
      </c>
      <c r="P324" s="1">
        <v>3086.0</v>
      </c>
    </row>
    <row r="325">
      <c r="A325" s="1">
        <v>7.086361926E9</v>
      </c>
      <c r="B325" s="2">
        <v>42404.0</v>
      </c>
      <c r="C325" s="2" t="str">
        <f t="shared" si="1"/>
        <v>Thursday</v>
      </c>
      <c r="D325" s="1">
        <v>87.0</v>
      </c>
      <c r="E325" s="1">
        <v>0.0199999995529652</v>
      </c>
      <c r="F325" s="1">
        <v>0.0199999995529652</v>
      </c>
      <c r="G325" s="1">
        <v>0.0</v>
      </c>
      <c r="H325" s="1">
        <v>0.0</v>
      </c>
      <c r="I325" s="1">
        <v>0.0</v>
      </c>
      <c r="J325" s="1">
        <v>0.00999999977648258</v>
      </c>
      <c r="K325" s="1">
        <v>0.0</v>
      </c>
      <c r="L325" s="1">
        <v>0.0</v>
      </c>
      <c r="M325" s="1">
        <v>0.0</v>
      </c>
      <c r="N325" s="1">
        <v>2.0</v>
      </c>
      <c r="O325" s="1">
        <v>872.0</v>
      </c>
      <c r="P325" s="1">
        <v>1641.0</v>
      </c>
    </row>
    <row r="326">
      <c r="A326" s="1">
        <v>7.086361926E9</v>
      </c>
      <c r="B326" s="2">
        <v>42708.0</v>
      </c>
      <c r="C326" s="2" t="str">
        <f t="shared" si="1"/>
        <v>Sunday</v>
      </c>
      <c r="D326" s="1">
        <v>430.0</v>
      </c>
      <c r="E326" s="1">
        <v>0.259999990463257</v>
      </c>
      <c r="F326" s="1">
        <v>0.259999990463257</v>
      </c>
      <c r="G326" s="1">
        <v>0.0</v>
      </c>
      <c r="H326" s="1">
        <v>0.0</v>
      </c>
      <c r="I326" s="1">
        <v>0.0</v>
      </c>
      <c r="J326" s="1">
        <v>0.259999990463257</v>
      </c>
      <c r="K326" s="1">
        <v>0.0</v>
      </c>
      <c r="L326" s="1">
        <v>0.0</v>
      </c>
      <c r="M326" s="1">
        <v>0.0</v>
      </c>
      <c r="N326" s="1">
        <v>14.0</v>
      </c>
      <c r="O326" s="1">
        <v>75.0</v>
      </c>
      <c r="P326" s="1">
        <v>625.0</v>
      </c>
    </row>
    <row r="327">
      <c r="A327" s="1">
        <v>7.086361926E9</v>
      </c>
      <c r="B327" s="2">
        <v>42647.0</v>
      </c>
      <c r="C327" s="2" t="str">
        <f t="shared" si="1"/>
        <v>Tuesday</v>
      </c>
      <c r="D327" s="1">
        <v>569.0</v>
      </c>
      <c r="E327" s="1">
        <v>0.349999994039536</v>
      </c>
      <c r="F327" s="1">
        <v>0.349999994039536</v>
      </c>
      <c r="G327" s="1">
        <v>0.0</v>
      </c>
      <c r="H327" s="1">
        <v>0.0</v>
      </c>
      <c r="I327" s="1">
        <v>0.0</v>
      </c>
      <c r="J327" s="1">
        <v>0.340000003576279</v>
      </c>
      <c r="K327" s="1">
        <v>0.0</v>
      </c>
      <c r="L327" s="1">
        <v>0.0</v>
      </c>
      <c r="M327" s="1">
        <v>0.0</v>
      </c>
      <c r="N327" s="1">
        <v>27.0</v>
      </c>
      <c r="O327" s="1">
        <v>1368.0</v>
      </c>
      <c r="P327" s="1">
        <v>1799.0</v>
      </c>
    </row>
    <row r="328">
      <c r="A328" s="1">
        <v>7.086361926E9</v>
      </c>
      <c r="B328" s="2">
        <v>42433.0</v>
      </c>
      <c r="C328" s="2" t="str">
        <f t="shared" si="1"/>
        <v>Friday</v>
      </c>
      <c r="D328" s="1">
        <v>1949.0</v>
      </c>
      <c r="E328" s="1">
        <v>1.30999994277954</v>
      </c>
      <c r="F328" s="1">
        <v>1.30999994277954</v>
      </c>
      <c r="G328" s="1">
        <v>0.0</v>
      </c>
      <c r="H328" s="1">
        <v>0.230000004172325</v>
      </c>
      <c r="I328" s="1">
        <v>0.349999994039536</v>
      </c>
      <c r="J328" s="1">
        <v>0.730000019073486</v>
      </c>
      <c r="K328" s="1">
        <v>0.0</v>
      </c>
      <c r="L328" s="1">
        <v>3.0</v>
      </c>
      <c r="M328" s="1">
        <v>6.0</v>
      </c>
      <c r="N328" s="1">
        <v>27.0</v>
      </c>
      <c r="O328" s="1">
        <v>1404.0</v>
      </c>
      <c r="P328" s="1">
        <v>1794.0</v>
      </c>
    </row>
    <row r="329">
      <c r="A329" s="1">
        <v>7.086361926E9</v>
      </c>
      <c r="B329" s="2">
        <v>42464.0</v>
      </c>
      <c r="C329" s="2" t="str">
        <f t="shared" si="1"/>
        <v>Monday</v>
      </c>
      <c r="D329" s="1">
        <v>6101.0</v>
      </c>
      <c r="E329" s="1">
        <v>3.86999988555908</v>
      </c>
      <c r="F329" s="1">
        <v>3.86999988555908</v>
      </c>
      <c r="G329" s="1">
        <v>0.0</v>
      </c>
      <c r="H329" s="1">
        <v>0.529999971389771</v>
      </c>
      <c r="I329" s="1">
        <v>0.230000004172325</v>
      </c>
      <c r="J329" s="1">
        <v>3.09999990463257</v>
      </c>
      <c r="K329" s="1">
        <v>0.0</v>
      </c>
      <c r="L329" s="1">
        <v>31.0</v>
      </c>
      <c r="M329" s="1">
        <v>24.0</v>
      </c>
      <c r="N329" s="1">
        <v>138.0</v>
      </c>
      <c r="O329" s="1">
        <v>1247.0</v>
      </c>
      <c r="P329" s="1">
        <v>2421.0</v>
      </c>
    </row>
    <row r="330">
      <c r="A330" s="1">
        <v>7.086361926E9</v>
      </c>
      <c r="B330" s="2">
        <v>42678.0</v>
      </c>
      <c r="C330" s="2" t="str">
        <f t="shared" si="1"/>
        <v>Friday</v>
      </c>
      <c r="D330" s="1">
        <v>6242.0</v>
      </c>
      <c r="E330" s="1">
        <v>3.92000007629395</v>
      </c>
      <c r="F330" s="1">
        <v>3.92000007629395</v>
      </c>
      <c r="G330" s="1">
        <v>0.0</v>
      </c>
      <c r="H330" s="1">
        <v>0.740000009536743</v>
      </c>
      <c r="I330" s="1">
        <v>0.230000004172325</v>
      </c>
      <c r="J330" s="1">
        <v>2.9300000667572</v>
      </c>
      <c r="K330" s="1">
        <v>0.0</v>
      </c>
      <c r="L330" s="1">
        <v>46.0</v>
      </c>
      <c r="M330" s="1">
        <v>22.0</v>
      </c>
      <c r="N330" s="1">
        <v>126.0</v>
      </c>
      <c r="O330" s="1">
        <v>741.0</v>
      </c>
      <c r="P330" s="1">
        <v>2543.0</v>
      </c>
    </row>
    <row r="331">
      <c r="A331" s="1">
        <v>7.086361926E9</v>
      </c>
      <c r="B331" s="2">
        <v>42617.0</v>
      </c>
      <c r="C331" s="2" t="str">
        <f t="shared" si="1"/>
        <v>Sunday</v>
      </c>
      <c r="D331" s="1">
        <v>7338.0</v>
      </c>
      <c r="E331" s="1">
        <v>4.67000007629395</v>
      </c>
      <c r="F331" s="1">
        <v>4.67000007629395</v>
      </c>
      <c r="G331" s="1">
        <v>0.0</v>
      </c>
      <c r="H331" s="1">
        <v>1.08000004291534</v>
      </c>
      <c r="I331" s="1">
        <v>0.129999995231628</v>
      </c>
      <c r="J331" s="1">
        <v>3.46000003814697</v>
      </c>
      <c r="K331" s="1">
        <v>0.0</v>
      </c>
      <c r="L331" s="1">
        <v>27.0</v>
      </c>
      <c r="M331" s="1">
        <v>5.0</v>
      </c>
      <c r="N331" s="1">
        <v>204.0</v>
      </c>
      <c r="O331" s="1">
        <v>717.0</v>
      </c>
      <c r="P331" s="1">
        <v>2519.0</v>
      </c>
    </row>
    <row r="332">
      <c r="A332" s="1">
        <v>7.086361926E9</v>
      </c>
      <c r="B332" s="2">
        <v>42525.0</v>
      </c>
      <c r="C332" s="2" t="str">
        <f t="shared" si="1"/>
        <v>Saturday</v>
      </c>
      <c r="D332" s="1">
        <v>7352.0</v>
      </c>
      <c r="E332" s="1">
        <v>4.73000001907349</v>
      </c>
      <c r="F332" s="1">
        <v>4.73000001907349</v>
      </c>
      <c r="G332" s="1">
        <v>0.0</v>
      </c>
      <c r="H332" s="1">
        <v>1.4099999666214</v>
      </c>
      <c r="I332" s="1">
        <v>0.779999971389771</v>
      </c>
      <c r="J332" s="1">
        <v>2.52999997138977</v>
      </c>
      <c r="K332" s="1">
        <v>0.0</v>
      </c>
      <c r="L332" s="1">
        <v>19.0</v>
      </c>
      <c r="M332" s="1">
        <v>14.0</v>
      </c>
      <c r="N332" s="1">
        <v>124.0</v>
      </c>
      <c r="O332" s="1">
        <v>814.0</v>
      </c>
      <c r="P332" s="1">
        <v>2233.0</v>
      </c>
    </row>
    <row r="333">
      <c r="A333" s="1">
        <v>7.086361926E9</v>
      </c>
      <c r="B333" s="2">
        <v>42494.0</v>
      </c>
      <c r="C333" s="2" t="str">
        <f t="shared" si="1"/>
        <v>Wednesday</v>
      </c>
      <c r="D333" s="1">
        <v>7478.0</v>
      </c>
      <c r="E333" s="1">
        <v>4.98999977111816</v>
      </c>
      <c r="F333" s="1">
        <v>4.98999977111816</v>
      </c>
      <c r="G333" s="1">
        <v>0.0</v>
      </c>
      <c r="H333" s="1">
        <v>1.79999995231628</v>
      </c>
      <c r="I333" s="1">
        <v>0.529999971389771</v>
      </c>
      <c r="J333" s="1">
        <v>2.60999989509583</v>
      </c>
      <c r="K333" s="1">
        <v>0.0299999993294477</v>
      </c>
      <c r="L333" s="1">
        <v>25.0</v>
      </c>
      <c r="M333" s="1">
        <v>33.0</v>
      </c>
      <c r="N333" s="1">
        <v>132.0</v>
      </c>
      <c r="O333" s="1">
        <v>1159.0</v>
      </c>
      <c r="P333" s="1">
        <v>2439.0</v>
      </c>
    </row>
    <row r="334">
      <c r="A334" s="1">
        <v>7.086361926E9</v>
      </c>
      <c r="B334" s="2">
        <v>42586.0</v>
      </c>
      <c r="C334" s="2" t="str">
        <f t="shared" si="1"/>
        <v>Thursday</v>
      </c>
      <c r="D334" s="1">
        <v>9634.0</v>
      </c>
      <c r="E334" s="1">
        <v>6.51999998092651</v>
      </c>
      <c r="F334" s="1">
        <v>6.51999998092651</v>
      </c>
      <c r="G334" s="1">
        <v>0.0</v>
      </c>
      <c r="H334" s="1">
        <v>2.5</v>
      </c>
      <c r="I334" s="1">
        <v>1.39999997615814</v>
      </c>
      <c r="J334" s="1">
        <v>2.58999991416931</v>
      </c>
      <c r="K334" s="1">
        <v>0.0</v>
      </c>
      <c r="L334" s="1">
        <v>50.0</v>
      </c>
      <c r="M334" s="1">
        <v>48.0</v>
      </c>
      <c r="N334" s="1">
        <v>140.0</v>
      </c>
      <c r="O334" s="1">
        <v>797.0</v>
      </c>
      <c r="P334" s="1">
        <v>2752.0</v>
      </c>
    </row>
    <row r="335">
      <c r="A335" s="1">
        <v>7.086361926E9</v>
      </c>
      <c r="B335" s="2">
        <v>42373.0</v>
      </c>
      <c r="C335" s="2" t="str">
        <f t="shared" si="1"/>
        <v>Monday</v>
      </c>
      <c r="D335" s="1">
        <v>11463.0</v>
      </c>
      <c r="E335" s="1">
        <v>7.67000007629395</v>
      </c>
      <c r="F335" s="1">
        <v>7.67000007629395</v>
      </c>
      <c r="G335" s="1">
        <v>0.0</v>
      </c>
      <c r="H335" s="1">
        <v>2.82999992370605</v>
      </c>
      <c r="I335" s="1">
        <v>1.88999998569489</v>
      </c>
      <c r="J335" s="1">
        <v>2.9300000667572</v>
      </c>
      <c r="K335" s="1">
        <v>0.0</v>
      </c>
      <c r="L335" s="1">
        <v>38.0</v>
      </c>
      <c r="M335" s="1">
        <v>30.0</v>
      </c>
      <c r="N335" s="1">
        <v>154.0</v>
      </c>
      <c r="O335" s="1">
        <v>777.0</v>
      </c>
      <c r="P335" s="1">
        <v>2496.0</v>
      </c>
    </row>
    <row r="336">
      <c r="A336" s="1">
        <v>7.086361926E9</v>
      </c>
      <c r="B336" s="2">
        <v>42555.0</v>
      </c>
      <c r="C336" s="2" t="str">
        <f t="shared" si="1"/>
        <v>Monday</v>
      </c>
      <c r="D336" s="1">
        <v>14604.0</v>
      </c>
      <c r="E336" s="1">
        <v>10.8199996948242</v>
      </c>
      <c r="F336" s="1">
        <v>10.8199996948242</v>
      </c>
      <c r="G336" s="1">
        <v>0.0</v>
      </c>
      <c r="H336" s="1">
        <v>7.23000001907349</v>
      </c>
      <c r="I336" s="1">
        <v>1.12000000476837</v>
      </c>
      <c r="J336" s="1">
        <v>2.4300000667572</v>
      </c>
      <c r="K336" s="1">
        <v>0.0299999993294477</v>
      </c>
      <c r="L336" s="1">
        <v>76.0</v>
      </c>
      <c r="M336" s="1">
        <v>30.0</v>
      </c>
      <c r="N336" s="1">
        <v>127.0</v>
      </c>
      <c r="O336" s="1">
        <v>695.0</v>
      </c>
      <c r="P336" s="1">
        <v>2862.0</v>
      </c>
    </row>
    <row r="337">
      <c r="A337" s="1">
        <v>8.053475328E9</v>
      </c>
      <c r="B337" s="2">
        <v>42708.0</v>
      </c>
      <c r="C337" s="2" t="str">
        <f t="shared" si="1"/>
        <v>Sunday</v>
      </c>
      <c r="D337" s="1">
        <v>290.0</v>
      </c>
      <c r="E337" s="1">
        <v>0.209999993443489</v>
      </c>
      <c r="F337" s="1">
        <v>0.209999993443489</v>
      </c>
      <c r="G337" s="1">
        <v>0.0</v>
      </c>
      <c r="H337" s="1">
        <v>0.0</v>
      </c>
      <c r="I337" s="1">
        <v>0.0</v>
      </c>
      <c r="J337" s="1">
        <v>0.209999993443489</v>
      </c>
      <c r="K337" s="1">
        <v>0.0</v>
      </c>
      <c r="L337" s="1">
        <v>0.0</v>
      </c>
      <c r="M337" s="1">
        <v>0.0</v>
      </c>
      <c r="N337" s="1">
        <v>16.0</v>
      </c>
      <c r="O337" s="1">
        <v>599.0</v>
      </c>
      <c r="P337" s="1">
        <v>791.0</v>
      </c>
    </row>
    <row r="338">
      <c r="A338" s="1">
        <v>8.053475328E9</v>
      </c>
      <c r="B338" s="2">
        <v>42647.0</v>
      </c>
      <c r="C338" s="2" t="str">
        <f t="shared" si="1"/>
        <v>Tuesday</v>
      </c>
      <c r="D338" s="1">
        <v>10118.0</v>
      </c>
      <c r="E338" s="1">
        <v>7.73000001907349</v>
      </c>
      <c r="F338" s="1">
        <v>7.73000001907349</v>
      </c>
      <c r="G338" s="1">
        <v>0.0</v>
      </c>
      <c r="H338" s="1">
        <v>3.04999995231628</v>
      </c>
      <c r="I338" s="1">
        <v>0.800000011920929</v>
      </c>
      <c r="J338" s="1">
        <v>3.88000011444092</v>
      </c>
      <c r="K338" s="1">
        <v>0.0</v>
      </c>
      <c r="L338" s="1">
        <v>30.0</v>
      </c>
      <c r="M338" s="1">
        <v>18.0</v>
      </c>
      <c r="N338" s="1">
        <v>207.0</v>
      </c>
      <c r="O338" s="1">
        <v>1185.0</v>
      </c>
      <c r="P338" s="1">
        <v>2684.0</v>
      </c>
    </row>
    <row r="339">
      <c r="A339" s="1">
        <v>8.053475328E9</v>
      </c>
      <c r="B339" s="2">
        <v>42617.0</v>
      </c>
      <c r="C339" s="2" t="str">
        <f t="shared" si="1"/>
        <v>Sunday</v>
      </c>
      <c r="D339" s="1">
        <v>11159.0</v>
      </c>
      <c r="E339" s="1">
        <v>9.14000034332275</v>
      </c>
      <c r="F339" s="1">
        <v>9.14000034332275</v>
      </c>
      <c r="G339" s="1">
        <v>0.0</v>
      </c>
      <c r="H339" s="1">
        <v>6.69000005722046</v>
      </c>
      <c r="I339" s="1">
        <v>0.25</v>
      </c>
      <c r="J339" s="1">
        <v>2.19000005722046</v>
      </c>
      <c r="K339" s="1">
        <v>0.0</v>
      </c>
      <c r="L339" s="1">
        <v>59.0</v>
      </c>
      <c r="M339" s="1">
        <v>6.0</v>
      </c>
      <c r="N339" s="1">
        <v>120.0</v>
      </c>
      <c r="O339" s="1">
        <v>1255.0</v>
      </c>
      <c r="P339" s="1">
        <v>2715.0</v>
      </c>
    </row>
    <row r="340">
      <c r="A340" s="1">
        <v>8.053475328E9</v>
      </c>
      <c r="B340" s="2">
        <v>42586.0</v>
      </c>
      <c r="C340" s="2" t="str">
        <f t="shared" si="1"/>
        <v>Thursday</v>
      </c>
      <c r="D340" s="1">
        <v>11693.0</v>
      </c>
      <c r="E340" s="1">
        <v>9.53999996185303</v>
      </c>
      <c r="F340" s="1">
        <v>9.53999996185303</v>
      </c>
      <c r="G340" s="1">
        <v>0.0</v>
      </c>
      <c r="H340" s="1">
        <v>6.76999998092651</v>
      </c>
      <c r="I340" s="1">
        <v>0.259999990463257</v>
      </c>
      <c r="J340" s="1">
        <v>2.5</v>
      </c>
      <c r="K340" s="1">
        <v>0.0</v>
      </c>
      <c r="L340" s="1">
        <v>60.0</v>
      </c>
      <c r="M340" s="1">
        <v>6.0</v>
      </c>
      <c r="N340" s="1">
        <v>153.0</v>
      </c>
      <c r="O340" s="1">
        <v>1221.0</v>
      </c>
      <c r="P340" s="1">
        <v>2790.0</v>
      </c>
    </row>
    <row r="341">
      <c r="A341" s="1">
        <v>8.053475328E9</v>
      </c>
      <c r="B341" s="2">
        <v>42678.0</v>
      </c>
      <c r="C341" s="2" t="str">
        <f t="shared" si="1"/>
        <v>Friday</v>
      </c>
      <c r="D341" s="1">
        <v>16064.0</v>
      </c>
      <c r="E341" s="1">
        <v>12.7200002670288</v>
      </c>
      <c r="F341" s="1">
        <v>12.7200002670288</v>
      </c>
      <c r="G341" s="1">
        <v>0.0</v>
      </c>
      <c r="H341" s="1">
        <v>9.97999954223633</v>
      </c>
      <c r="I341" s="1">
        <v>0.360000014305115</v>
      </c>
      <c r="J341" s="1">
        <v>2.38000011444092</v>
      </c>
      <c r="K341" s="1">
        <v>0.0</v>
      </c>
      <c r="L341" s="1">
        <v>96.0</v>
      </c>
      <c r="M341" s="1">
        <v>8.0</v>
      </c>
      <c r="N341" s="1">
        <v>155.0</v>
      </c>
      <c r="O341" s="1">
        <v>1181.0</v>
      </c>
      <c r="P341" s="1">
        <v>3097.0</v>
      </c>
    </row>
    <row r="342">
      <c r="A342" s="1">
        <v>8.053475328E9</v>
      </c>
      <c r="B342" s="2">
        <v>42525.0</v>
      </c>
      <c r="C342" s="2" t="str">
        <f t="shared" si="1"/>
        <v>Saturday</v>
      </c>
      <c r="D342" s="1">
        <v>16435.0</v>
      </c>
      <c r="E342" s="1">
        <v>12.4200000762939</v>
      </c>
      <c r="F342" s="1">
        <v>12.4200000762939</v>
      </c>
      <c r="G342" s="1">
        <v>0.0</v>
      </c>
      <c r="H342" s="1">
        <v>8.96000003814697</v>
      </c>
      <c r="I342" s="1">
        <v>0.550000011920929</v>
      </c>
      <c r="J342" s="1">
        <v>2.91000008583069</v>
      </c>
      <c r="K342" s="1">
        <v>0.0</v>
      </c>
      <c r="L342" s="1">
        <v>100.0</v>
      </c>
      <c r="M342" s="1">
        <v>14.0</v>
      </c>
      <c r="N342" s="1">
        <v>191.0</v>
      </c>
      <c r="O342" s="1">
        <v>1135.0</v>
      </c>
      <c r="P342" s="1">
        <v>3122.0</v>
      </c>
    </row>
    <row r="343">
      <c r="A343" s="1">
        <v>8.053475328E9</v>
      </c>
      <c r="B343" s="2">
        <v>42555.0</v>
      </c>
      <c r="C343" s="2" t="str">
        <f t="shared" si="1"/>
        <v>Monday</v>
      </c>
      <c r="D343" s="1">
        <v>17078.0</v>
      </c>
      <c r="E343" s="1">
        <v>13.1999998092651</v>
      </c>
      <c r="F343" s="1">
        <v>13.1999998092651</v>
      </c>
      <c r="G343" s="1">
        <v>0.0</v>
      </c>
      <c r="H343" s="1">
        <v>9.97000026702881</v>
      </c>
      <c r="I343" s="1">
        <v>0.239999994635582</v>
      </c>
      <c r="J343" s="1">
        <v>2.99000000953674</v>
      </c>
      <c r="K343" s="1">
        <v>0.0</v>
      </c>
      <c r="L343" s="1">
        <v>101.0</v>
      </c>
      <c r="M343" s="1">
        <v>6.0</v>
      </c>
      <c r="N343" s="1">
        <v>190.0</v>
      </c>
      <c r="O343" s="1">
        <v>1143.0</v>
      </c>
      <c r="P343" s="1">
        <v>3176.0</v>
      </c>
    </row>
    <row r="344">
      <c r="A344" s="1">
        <v>8.053475328E9</v>
      </c>
      <c r="B344" s="2">
        <v>42494.0</v>
      </c>
      <c r="C344" s="2" t="str">
        <f t="shared" si="1"/>
        <v>Wednesday</v>
      </c>
      <c r="D344" s="1">
        <v>17167.0</v>
      </c>
      <c r="E344" s="1">
        <v>13.4099998474121</v>
      </c>
      <c r="F344" s="1">
        <v>13.4099998474121</v>
      </c>
      <c r="G344" s="1">
        <v>0.0</v>
      </c>
      <c r="H344" s="1">
        <v>9.96000003814697</v>
      </c>
      <c r="I344" s="1">
        <v>0.310000002384186</v>
      </c>
      <c r="J344" s="1">
        <v>3.14000010490417</v>
      </c>
      <c r="K344" s="1">
        <v>0.0</v>
      </c>
      <c r="L344" s="1">
        <v>98.0</v>
      </c>
      <c r="M344" s="1">
        <v>8.0</v>
      </c>
      <c r="N344" s="1">
        <v>184.0</v>
      </c>
      <c r="O344" s="1">
        <v>1150.0</v>
      </c>
      <c r="P344" s="1">
        <v>3167.0</v>
      </c>
    </row>
    <row r="345">
      <c r="A345" s="1">
        <v>8.053475328E9</v>
      </c>
      <c r="B345" s="2">
        <v>42464.0</v>
      </c>
      <c r="C345" s="2" t="str">
        <f t="shared" si="1"/>
        <v>Monday</v>
      </c>
      <c r="D345" s="1">
        <v>17395.0</v>
      </c>
      <c r="E345" s="1">
        <v>13.210000038147</v>
      </c>
      <c r="F345" s="1">
        <v>13.210000038147</v>
      </c>
      <c r="G345" s="1">
        <v>0.0</v>
      </c>
      <c r="H345" s="1">
        <v>9.67000007629395</v>
      </c>
      <c r="I345" s="1">
        <v>0.180000007152557</v>
      </c>
      <c r="J345" s="1">
        <v>3.34999990463257</v>
      </c>
      <c r="K345" s="1">
        <v>0.0</v>
      </c>
      <c r="L345" s="1">
        <v>100.0</v>
      </c>
      <c r="M345" s="1">
        <v>4.0</v>
      </c>
      <c r="N345" s="1">
        <v>213.0</v>
      </c>
      <c r="O345" s="1">
        <v>1123.0</v>
      </c>
      <c r="P345" s="1">
        <v>3209.0</v>
      </c>
    </row>
    <row r="346">
      <c r="A346" s="1">
        <v>8.053475328E9</v>
      </c>
      <c r="B346" s="2">
        <v>42404.0</v>
      </c>
      <c r="C346" s="2" t="str">
        <f t="shared" si="1"/>
        <v>Thursday</v>
      </c>
      <c r="D346" s="1">
        <v>20188.0</v>
      </c>
      <c r="E346" s="1">
        <v>15.6199998855591</v>
      </c>
      <c r="F346" s="1">
        <v>15.6199998855591</v>
      </c>
      <c r="G346" s="1">
        <v>0.0</v>
      </c>
      <c r="H346" s="1">
        <v>12.0600004196167</v>
      </c>
      <c r="I346" s="1">
        <v>0.850000023841858</v>
      </c>
      <c r="J346" s="1">
        <v>2.71000003814697</v>
      </c>
      <c r="K346" s="1">
        <v>0.0</v>
      </c>
      <c r="L346" s="1">
        <v>124.0</v>
      </c>
      <c r="M346" s="1">
        <v>19.0</v>
      </c>
      <c r="N346" s="1">
        <v>172.0</v>
      </c>
      <c r="O346" s="1">
        <v>1125.0</v>
      </c>
      <c r="P346" s="1">
        <v>3377.0</v>
      </c>
    </row>
    <row r="347">
      <c r="A347" s="1">
        <v>8.053475328E9</v>
      </c>
      <c r="B347" s="2">
        <v>42433.0</v>
      </c>
      <c r="C347" s="2" t="str">
        <f t="shared" si="1"/>
        <v>Friday</v>
      </c>
      <c r="D347" s="1">
        <v>25701.0</v>
      </c>
      <c r="E347" s="1">
        <v>20.1399993896484</v>
      </c>
      <c r="F347" s="1">
        <v>20.1399993896484</v>
      </c>
      <c r="G347" s="1">
        <v>0.0</v>
      </c>
      <c r="H347" s="1">
        <v>16.8199996948242</v>
      </c>
      <c r="I347" s="1">
        <v>1.62999999523163</v>
      </c>
      <c r="J347" s="1">
        <v>1.69000005722046</v>
      </c>
      <c r="K347" s="1">
        <v>0.0</v>
      </c>
      <c r="L347" s="1">
        <v>165.0</v>
      </c>
      <c r="M347" s="1">
        <v>36.0</v>
      </c>
      <c r="N347" s="1">
        <v>97.0</v>
      </c>
      <c r="O347" s="1">
        <v>1142.0</v>
      </c>
      <c r="P347" s="1">
        <v>3697.0</v>
      </c>
    </row>
    <row r="348">
      <c r="A348" s="1">
        <v>8.253242879E9</v>
      </c>
      <c r="B348" s="2">
        <v>42678.0</v>
      </c>
      <c r="C348" s="2" t="str">
        <f t="shared" si="1"/>
        <v>Friday</v>
      </c>
      <c r="D348" s="1">
        <v>1636.0</v>
      </c>
      <c r="E348" s="1">
        <v>1.08000004291534</v>
      </c>
      <c r="F348" s="1">
        <v>1.08000004291534</v>
      </c>
      <c r="G348" s="1">
        <v>0.0</v>
      </c>
      <c r="H348" s="1">
        <v>0.0</v>
      </c>
      <c r="I348" s="1">
        <v>0.0</v>
      </c>
      <c r="J348" s="1">
        <v>1.08000004291534</v>
      </c>
      <c r="K348" s="1">
        <v>0.0</v>
      </c>
      <c r="L348" s="1">
        <v>0.0</v>
      </c>
      <c r="M348" s="1">
        <v>0.0</v>
      </c>
      <c r="N348" s="1">
        <v>86.0</v>
      </c>
      <c r="O348" s="1">
        <v>1139.0</v>
      </c>
      <c r="P348" s="1">
        <v>1377.0</v>
      </c>
    </row>
    <row r="349">
      <c r="A349" s="1">
        <v>8.253242879E9</v>
      </c>
      <c r="B349" s="2">
        <v>42525.0</v>
      </c>
      <c r="C349" s="2" t="str">
        <f t="shared" si="1"/>
        <v>Saturday</v>
      </c>
      <c r="D349" s="1">
        <v>1931.0</v>
      </c>
      <c r="E349" s="1">
        <v>1.27999997138977</v>
      </c>
      <c r="F349" s="1">
        <v>1.27999997138977</v>
      </c>
      <c r="G349" s="1">
        <v>0.0</v>
      </c>
      <c r="H349" s="1">
        <v>0.0</v>
      </c>
      <c r="I349" s="1">
        <v>0.0</v>
      </c>
      <c r="J349" s="1">
        <v>1.27999997138977</v>
      </c>
      <c r="K349" s="1">
        <v>0.0</v>
      </c>
      <c r="L349" s="1">
        <v>0.0</v>
      </c>
      <c r="M349" s="1">
        <v>0.0</v>
      </c>
      <c r="N349" s="1">
        <v>94.0</v>
      </c>
      <c r="O349" s="1">
        <v>1346.0</v>
      </c>
      <c r="P349" s="1">
        <v>1607.0</v>
      </c>
    </row>
    <row r="350">
      <c r="A350" s="1">
        <v>8.253242879E9</v>
      </c>
      <c r="B350" s="2">
        <v>42647.0</v>
      </c>
      <c r="C350" s="2" t="str">
        <f t="shared" si="1"/>
        <v>Tuesday</v>
      </c>
      <c r="D350" s="1">
        <v>2545.0</v>
      </c>
      <c r="E350" s="1">
        <v>1.67999994754791</v>
      </c>
      <c r="F350" s="1">
        <v>1.67999994754791</v>
      </c>
      <c r="G350" s="1">
        <v>0.0</v>
      </c>
      <c r="H350" s="1">
        <v>0.0</v>
      </c>
      <c r="I350" s="1">
        <v>0.0</v>
      </c>
      <c r="J350" s="1">
        <v>1.66999995708466</v>
      </c>
      <c r="K350" s="1">
        <v>0.0199999995529652</v>
      </c>
      <c r="L350" s="1">
        <v>0.0</v>
      </c>
      <c r="M350" s="1">
        <v>0.0</v>
      </c>
      <c r="N350" s="1">
        <v>126.0</v>
      </c>
      <c r="O350" s="1">
        <v>1314.0</v>
      </c>
      <c r="P350" s="1">
        <v>1657.0</v>
      </c>
    </row>
    <row r="351">
      <c r="A351" s="1">
        <v>8.253242879E9</v>
      </c>
      <c r="B351" s="2">
        <v>42555.0</v>
      </c>
      <c r="C351" s="2" t="str">
        <f t="shared" si="1"/>
        <v>Monday</v>
      </c>
      <c r="D351" s="1">
        <v>5181.0</v>
      </c>
      <c r="E351" s="1">
        <v>3.42000007629395</v>
      </c>
      <c r="F351" s="1">
        <v>3.42000007629395</v>
      </c>
      <c r="G351" s="1">
        <v>0.0</v>
      </c>
      <c r="H351" s="1">
        <v>1.0</v>
      </c>
      <c r="I351" s="1">
        <v>0.910000026226044</v>
      </c>
      <c r="J351" s="1">
        <v>1.50999999046326</v>
      </c>
      <c r="K351" s="1">
        <v>0.00999999977648258</v>
      </c>
      <c r="L351" s="1">
        <v>15.0</v>
      </c>
      <c r="M351" s="1">
        <v>15.0</v>
      </c>
      <c r="N351" s="1">
        <v>107.0</v>
      </c>
      <c r="O351" s="1">
        <v>1303.0</v>
      </c>
      <c r="P351" s="1">
        <v>1776.0</v>
      </c>
    </row>
    <row r="352">
      <c r="A352" s="1">
        <v>8.253242879E9</v>
      </c>
      <c r="B352" s="2">
        <v>42617.0</v>
      </c>
      <c r="C352" s="2" t="str">
        <f t="shared" si="1"/>
        <v>Sunday</v>
      </c>
      <c r="D352" s="1">
        <v>5360.0</v>
      </c>
      <c r="E352" s="1">
        <v>3.53999996185303</v>
      </c>
      <c r="F352" s="1">
        <v>3.53999996185303</v>
      </c>
      <c r="G352" s="1">
        <v>0.0</v>
      </c>
      <c r="H352" s="1">
        <v>0.540000021457672</v>
      </c>
      <c r="I352" s="1">
        <v>1.54999995231628</v>
      </c>
      <c r="J352" s="1">
        <v>1.46000003814697</v>
      </c>
      <c r="K352" s="1">
        <v>0.0</v>
      </c>
      <c r="L352" s="1">
        <v>8.0</v>
      </c>
      <c r="M352" s="1">
        <v>28.0</v>
      </c>
      <c r="N352" s="1">
        <v>148.0</v>
      </c>
      <c r="O352" s="1">
        <v>1256.0</v>
      </c>
      <c r="P352" s="1">
        <v>1832.0</v>
      </c>
    </row>
    <row r="353">
      <c r="A353" s="1">
        <v>8.253242879E9</v>
      </c>
      <c r="B353" s="2">
        <v>42586.0</v>
      </c>
      <c r="C353" s="2" t="str">
        <f t="shared" si="1"/>
        <v>Thursday</v>
      </c>
      <c r="D353" s="1">
        <v>12026.0</v>
      </c>
      <c r="E353" s="1">
        <v>9.14999961853027</v>
      </c>
      <c r="F353" s="1">
        <v>9.14999961853027</v>
      </c>
      <c r="G353" s="1">
        <v>0.0</v>
      </c>
      <c r="H353" s="1">
        <v>5.69999980926514</v>
      </c>
      <c r="I353" s="1">
        <v>0.930000007152557</v>
      </c>
      <c r="J353" s="1">
        <v>2.50999999046326</v>
      </c>
      <c r="K353" s="1">
        <v>0.0</v>
      </c>
      <c r="L353" s="1">
        <v>47.0</v>
      </c>
      <c r="M353" s="1">
        <v>13.0</v>
      </c>
      <c r="N353" s="1">
        <v>150.0</v>
      </c>
      <c r="O353" s="1">
        <v>1230.0</v>
      </c>
      <c r="P353" s="1">
        <v>2162.0</v>
      </c>
    </row>
    <row r="354">
      <c r="A354" s="1">
        <v>8.3785632E9</v>
      </c>
      <c r="B354" s="2">
        <v>42617.0</v>
      </c>
      <c r="C354" s="2" t="str">
        <f t="shared" si="1"/>
        <v>Sunday</v>
      </c>
      <c r="D354" s="1">
        <v>2240.0</v>
      </c>
      <c r="E354" s="1">
        <v>1.77999997138977</v>
      </c>
      <c r="F354" s="1">
        <v>1.77999997138977</v>
      </c>
      <c r="G354" s="1">
        <v>0.0</v>
      </c>
      <c r="H354" s="1">
        <v>0.0</v>
      </c>
      <c r="I354" s="1">
        <v>0.0</v>
      </c>
      <c r="J354" s="1">
        <v>1.77999997138977</v>
      </c>
      <c r="K354" s="1">
        <v>0.0</v>
      </c>
      <c r="L354" s="1">
        <v>0.0</v>
      </c>
      <c r="M354" s="1">
        <v>0.0</v>
      </c>
      <c r="N354" s="1">
        <v>110.0</v>
      </c>
      <c r="O354" s="1">
        <v>843.0</v>
      </c>
      <c r="P354" s="1">
        <v>2606.0</v>
      </c>
    </row>
    <row r="355">
      <c r="A355" s="1">
        <v>8.3785632E9</v>
      </c>
      <c r="B355" s="2">
        <v>42647.0</v>
      </c>
      <c r="C355" s="2" t="str">
        <f t="shared" si="1"/>
        <v>Tuesday</v>
      </c>
      <c r="D355" s="1">
        <v>2631.0</v>
      </c>
      <c r="E355" s="1">
        <v>2.08999991416931</v>
      </c>
      <c r="F355" s="1">
        <v>2.08999991416931</v>
      </c>
      <c r="G355" s="1">
        <v>0.0</v>
      </c>
      <c r="H355" s="1">
        <v>0.0</v>
      </c>
      <c r="I355" s="1">
        <v>0.0</v>
      </c>
      <c r="J355" s="1">
        <v>2.08999991416931</v>
      </c>
      <c r="K355" s="1">
        <v>0.0</v>
      </c>
      <c r="L355" s="1">
        <v>0.0</v>
      </c>
      <c r="M355" s="1">
        <v>0.0</v>
      </c>
      <c r="N355" s="1">
        <v>117.0</v>
      </c>
      <c r="O355" s="1">
        <v>727.0</v>
      </c>
      <c r="P355" s="1">
        <v>2624.0</v>
      </c>
    </row>
    <row r="356">
      <c r="A356" s="1">
        <v>8.3785632E9</v>
      </c>
      <c r="B356" s="2">
        <v>42708.0</v>
      </c>
      <c r="C356" s="2" t="str">
        <f t="shared" si="1"/>
        <v>Sunday</v>
      </c>
      <c r="D356" s="1">
        <v>3246.0</v>
      </c>
      <c r="E356" s="1">
        <v>2.5699999332428</v>
      </c>
      <c r="F356" s="1">
        <v>2.5699999332428</v>
      </c>
      <c r="G356" s="1">
        <v>2.25308108329773</v>
      </c>
      <c r="H356" s="1">
        <v>0.829999983310699</v>
      </c>
      <c r="I356" s="1">
        <v>0.709999978542328</v>
      </c>
      <c r="J356" s="1">
        <v>1.02999997138977</v>
      </c>
      <c r="K356" s="1">
        <v>0.0</v>
      </c>
      <c r="L356" s="1">
        <v>65.0</v>
      </c>
      <c r="M356" s="1">
        <v>15.0</v>
      </c>
      <c r="N356" s="1">
        <v>49.0</v>
      </c>
      <c r="O356" s="1">
        <v>243.0</v>
      </c>
      <c r="P356" s="1">
        <v>1882.0</v>
      </c>
    </row>
    <row r="357">
      <c r="A357" s="1">
        <v>8.3785632E9</v>
      </c>
      <c r="B357" s="2">
        <v>42404.0</v>
      </c>
      <c r="C357" s="2" t="str">
        <f t="shared" si="1"/>
        <v>Thursday</v>
      </c>
      <c r="D357" s="1">
        <v>3358.0</v>
      </c>
      <c r="E357" s="1">
        <v>2.66000008583069</v>
      </c>
      <c r="F357" s="1">
        <v>2.66000008583069</v>
      </c>
      <c r="G357" s="1">
        <v>0.0</v>
      </c>
      <c r="H357" s="1">
        <v>0.0</v>
      </c>
      <c r="I357" s="1">
        <v>0.0</v>
      </c>
      <c r="J357" s="1">
        <v>2.66000008583069</v>
      </c>
      <c r="K357" s="1">
        <v>0.0</v>
      </c>
      <c r="L357" s="1">
        <v>0.0</v>
      </c>
      <c r="M357" s="1">
        <v>0.0</v>
      </c>
      <c r="N357" s="1">
        <v>144.0</v>
      </c>
      <c r="O357" s="1">
        <v>657.0</v>
      </c>
      <c r="P357" s="1">
        <v>2702.0</v>
      </c>
    </row>
    <row r="358">
      <c r="A358" s="1">
        <v>8.3785632E9</v>
      </c>
      <c r="B358" s="2">
        <v>42586.0</v>
      </c>
      <c r="C358" s="2" t="str">
        <f t="shared" si="1"/>
        <v>Thursday</v>
      </c>
      <c r="D358" s="1">
        <v>8350.0</v>
      </c>
      <c r="E358" s="1">
        <v>6.61999988555908</v>
      </c>
      <c r="F358" s="1">
        <v>6.61999988555908</v>
      </c>
      <c r="G358" s="1">
        <v>2.0921471118927</v>
      </c>
      <c r="H358" s="1">
        <v>1.49000000953674</v>
      </c>
      <c r="I358" s="1">
        <v>0.529999971389771</v>
      </c>
      <c r="J358" s="1">
        <v>4.6100001335144</v>
      </c>
      <c r="K358" s="1">
        <v>0.0</v>
      </c>
      <c r="L358" s="1">
        <v>72.0</v>
      </c>
      <c r="M358" s="1">
        <v>10.0</v>
      </c>
      <c r="N358" s="1">
        <v>167.0</v>
      </c>
      <c r="O358" s="1">
        <v>868.0</v>
      </c>
      <c r="P358" s="1">
        <v>3713.0</v>
      </c>
    </row>
    <row r="359">
      <c r="A359" s="1">
        <v>8.3785632E9</v>
      </c>
      <c r="B359" s="2">
        <v>42678.0</v>
      </c>
      <c r="C359" s="2" t="str">
        <f t="shared" si="1"/>
        <v>Friday</v>
      </c>
      <c r="D359" s="1">
        <v>8837.0</v>
      </c>
      <c r="E359" s="1">
        <v>7.01000022888184</v>
      </c>
      <c r="F359" s="1">
        <v>7.01000022888184</v>
      </c>
      <c r="G359" s="1">
        <v>2.0921471118927</v>
      </c>
      <c r="H359" s="1">
        <v>1.53999996185303</v>
      </c>
      <c r="I359" s="1">
        <v>0.879999995231628</v>
      </c>
      <c r="J359" s="1">
        <v>4.59000015258789</v>
      </c>
      <c r="K359" s="1">
        <v>0.0</v>
      </c>
      <c r="L359" s="1">
        <v>74.0</v>
      </c>
      <c r="M359" s="1">
        <v>17.0</v>
      </c>
      <c r="N359" s="1">
        <v>182.0</v>
      </c>
      <c r="O359" s="1">
        <v>811.0</v>
      </c>
      <c r="P359" s="1">
        <v>3775.0</v>
      </c>
    </row>
    <row r="360">
      <c r="A360" s="1">
        <v>8.3785632E9</v>
      </c>
      <c r="B360" s="2">
        <v>42525.0</v>
      </c>
      <c r="C360" s="2" t="str">
        <f t="shared" si="1"/>
        <v>Saturday</v>
      </c>
      <c r="D360" s="1">
        <v>9124.0</v>
      </c>
      <c r="E360" s="1">
        <v>7.23999977111816</v>
      </c>
      <c r="F360" s="1">
        <v>7.23999977111816</v>
      </c>
      <c r="G360" s="1">
        <v>2.0921471118927</v>
      </c>
      <c r="H360" s="1">
        <v>0.0</v>
      </c>
      <c r="I360" s="1">
        <v>0.25</v>
      </c>
      <c r="J360" s="1">
        <v>6.98999977111816</v>
      </c>
      <c r="K360" s="1">
        <v>0.0</v>
      </c>
      <c r="L360" s="1">
        <v>55.0</v>
      </c>
      <c r="M360" s="1">
        <v>6.0</v>
      </c>
      <c r="N360" s="1">
        <v>230.0</v>
      </c>
      <c r="O360" s="1">
        <v>728.0</v>
      </c>
      <c r="P360" s="1">
        <v>3798.0</v>
      </c>
    </row>
    <row r="361">
      <c r="A361" s="1">
        <v>8.3785632E9</v>
      </c>
      <c r="B361" s="2">
        <v>42433.0</v>
      </c>
      <c r="C361" s="2" t="str">
        <f t="shared" si="1"/>
        <v>Friday</v>
      </c>
      <c r="D361" s="1">
        <v>9152.0</v>
      </c>
      <c r="E361" s="1">
        <v>7.26000022888184</v>
      </c>
      <c r="F361" s="1">
        <v>7.26000022888184</v>
      </c>
      <c r="G361" s="1">
        <v>0.0</v>
      </c>
      <c r="H361" s="1">
        <v>1.99000000953674</v>
      </c>
      <c r="I361" s="1">
        <v>0.819999992847443</v>
      </c>
      <c r="J361" s="1">
        <v>4.44999980926514</v>
      </c>
      <c r="K361" s="1">
        <v>0.0</v>
      </c>
      <c r="L361" s="1">
        <v>25.0</v>
      </c>
      <c r="M361" s="1">
        <v>13.0</v>
      </c>
      <c r="N361" s="1">
        <v>243.0</v>
      </c>
      <c r="O361" s="1">
        <v>600.0</v>
      </c>
      <c r="P361" s="1">
        <v>3304.0</v>
      </c>
    </row>
    <row r="362">
      <c r="A362" s="1">
        <v>8.3785632E9</v>
      </c>
      <c r="B362" s="2">
        <v>42555.0</v>
      </c>
      <c r="C362" s="2" t="str">
        <f t="shared" si="1"/>
        <v>Monday</v>
      </c>
      <c r="D362" s="1">
        <v>9725.0</v>
      </c>
      <c r="E362" s="1">
        <v>7.71000003814697</v>
      </c>
      <c r="F362" s="1">
        <v>7.71000003814697</v>
      </c>
      <c r="G362" s="1">
        <v>2.25308108329773</v>
      </c>
      <c r="H362" s="1">
        <v>2.41000008583069</v>
      </c>
      <c r="I362" s="1">
        <v>0.529999971389771</v>
      </c>
      <c r="J362" s="1">
        <v>4.76999998092651</v>
      </c>
      <c r="K362" s="1">
        <v>0.0</v>
      </c>
      <c r="L362" s="1">
        <v>83.0</v>
      </c>
      <c r="M362" s="1">
        <v>11.0</v>
      </c>
      <c r="N362" s="1">
        <v>181.0</v>
      </c>
      <c r="O362" s="1">
        <v>670.0</v>
      </c>
      <c r="P362" s="1">
        <v>3839.0</v>
      </c>
    </row>
    <row r="363">
      <c r="A363" s="1">
        <v>8.3785632E9</v>
      </c>
      <c r="B363" s="2">
        <v>42494.0</v>
      </c>
      <c r="C363" s="2" t="str">
        <f t="shared" si="1"/>
        <v>Wednesday</v>
      </c>
      <c r="D363" s="1">
        <v>12846.0</v>
      </c>
      <c r="E363" s="1">
        <v>10.1899995803833</v>
      </c>
      <c r="F363" s="1">
        <v>10.1899995803833</v>
      </c>
      <c r="G363" s="1">
        <v>2.25308108329773</v>
      </c>
      <c r="H363" s="1">
        <v>5.0</v>
      </c>
      <c r="I363" s="1">
        <v>0.75</v>
      </c>
      <c r="J363" s="1">
        <v>4.44000005722046</v>
      </c>
      <c r="K363" s="1">
        <v>0.0</v>
      </c>
      <c r="L363" s="1">
        <v>113.0</v>
      </c>
      <c r="M363" s="1">
        <v>15.0</v>
      </c>
      <c r="N363" s="1">
        <v>189.0</v>
      </c>
      <c r="O363" s="1">
        <v>686.0</v>
      </c>
      <c r="P363" s="1">
        <v>4128.0</v>
      </c>
    </row>
    <row r="364">
      <c r="A364" s="1">
        <v>8.3785632E9</v>
      </c>
      <c r="B364" s="2">
        <v>42464.0</v>
      </c>
      <c r="C364" s="2" t="str">
        <f t="shared" si="1"/>
        <v>Monday</v>
      </c>
      <c r="D364" s="1">
        <v>13935.0</v>
      </c>
      <c r="E364" s="1">
        <v>11.0500001907349</v>
      </c>
      <c r="F364" s="1">
        <v>11.0500001907349</v>
      </c>
      <c r="G364" s="1">
        <v>2.0921471118927</v>
      </c>
      <c r="H364" s="1">
        <v>4.09000015258789</v>
      </c>
      <c r="I364" s="1">
        <v>0.790000021457672</v>
      </c>
      <c r="J364" s="1">
        <v>6.17000007629395</v>
      </c>
      <c r="K364" s="1">
        <v>0.0</v>
      </c>
      <c r="L364" s="1">
        <v>105.0</v>
      </c>
      <c r="M364" s="1">
        <v>16.0</v>
      </c>
      <c r="N364" s="1">
        <v>220.0</v>
      </c>
      <c r="O364" s="1">
        <v>658.0</v>
      </c>
      <c r="P364" s="1">
        <v>4234.0</v>
      </c>
    </row>
    <row r="365">
      <c r="A365" s="1">
        <v>8.3785632E9</v>
      </c>
      <c r="B365" s="2">
        <v>42373.0</v>
      </c>
      <c r="C365" s="2" t="str">
        <f t="shared" si="1"/>
        <v>Monday</v>
      </c>
      <c r="D365" s="1">
        <v>14179.0</v>
      </c>
      <c r="E365" s="1">
        <v>11.2399997711182</v>
      </c>
      <c r="F365" s="1">
        <v>11.2399997711182</v>
      </c>
      <c r="G365" s="1">
        <v>0.0</v>
      </c>
      <c r="H365" s="1">
        <v>6.23000001907349</v>
      </c>
      <c r="I365" s="1">
        <v>1.05999994277954</v>
      </c>
      <c r="J365" s="1">
        <v>3.96000003814697</v>
      </c>
      <c r="K365" s="1">
        <v>0.0</v>
      </c>
      <c r="L365" s="1">
        <v>73.0</v>
      </c>
      <c r="M365" s="1">
        <v>21.0</v>
      </c>
      <c r="N365" s="1">
        <v>195.0</v>
      </c>
      <c r="O365" s="1">
        <v>719.0</v>
      </c>
      <c r="P365" s="1">
        <v>3669.0</v>
      </c>
    </row>
    <row r="366">
      <c r="A366" s="1">
        <v>8.583815059E9</v>
      </c>
      <c r="B366" s="2">
        <v>42586.0</v>
      </c>
      <c r="C366" s="2" t="str">
        <f t="shared" si="1"/>
        <v>Thursday</v>
      </c>
      <c r="D366" s="1">
        <v>1408.0</v>
      </c>
      <c r="E366" s="1">
        <v>1.10000002384186</v>
      </c>
      <c r="F366" s="1">
        <v>1.10000002384186</v>
      </c>
      <c r="G366" s="1">
        <v>0.0</v>
      </c>
      <c r="H366" s="1">
        <v>0.0</v>
      </c>
      <c r="I366" s="1">
        <v>0.0</v>
      </c>
      <c r="J366" s="1">
        <v>1.10000002384186</v>
      </c>
      <c r="K366" s="1">
        <v>0.0</v>
      </c>
      <c r="L366" s="1">
        <v>0.0</v>
      </c>
      <c r="M366" s="1">
        <v>0.0</v>
      </c>
      <c r="N366" s="1">
        <v>79.0</v>
      </c>
      <c r="O366" s="1">
        <v>1052.0</v>
      </c>
      <c r="P366" s="1">
        <v>1814.0</v>
      </c>
    </row>
    <row r="367">
      <c r="A367" s="1">
        <v>8.583815059E9</v>
      </c>
      <c r="B367" s="2">
        <v>42525.0</v>
      </c>
      <c r="C367" s="2" t="str">
        <f t="shared" si="1"/>
        <v>Saturday</v>
      </c>
      <c r="D367" s="1">
        <v>2098.0</v>
      </c>
      <c r="E367" s="1">
        <v>1.63999998569489</v>
      </c>
      <c r="F367" s="1">
        <v>1.63999998569489</v>
      </c>
      <c r="G367" s="1">
        <v>0.0</v>
      </c>
      <c r="H367" s="1">
        <v>0.0</v>
      </c>
      <c r="I367" s="1">
        <v>0.0</v>
      </c>
      <c r="J367" s="1">
        <v>1.62999999523163</v>
      </c>
      <c r="K367" s="1">
        <v>0.0</v>
      </c>
      <c r="L367" s="1">
        <v>0.0</v>
      </c>
      <c r="M367" s="1">
        <v>0.0</v>
      </c>
      <c r="N367" s="1">
        <v>112.0</v>
      </c>
      <c r="O367" s="1">
        <v>1328.0</v>
      </c>
      <c r="P367" s="1">
        <v>2354.0</v>
      </c>
    </row>
    <row r="368">
      <c r="A368" s="1">
        <v>8.583815059E9</v>
      </c>
      <c r="B368" s="2">
        <v>42373.0</v>
      </c>
      <c r="C368" s="2" t="str">
        <f t="shared" si="1"/>
        <v>Monday</v>
      </c>
      <c r="D368" s="1">
        <v>2174.0</v>
      </c>
      <c r="E368" s="1">
        <v>1.70000004768372</v>
      </c>
      <c r="F368" s="1">
        <v>1.70000004768372</v>
      </c>
      <c r="G368" s="1">
        <v>0.0</v>
      </c>
      <c r="H368" s="1">
        <v>0.0</v>
      </c>
      <c r="I368" s="1">
        <v>0.0</v>
      </c>
      <c r="J368" s="1">
        <v>1.70000004768372</v>
      </c>
      <c r="K368" s="1">
        <v>0.0</v>
      </c>
      <c r="L368" s="1">
        <v>0.0</v>
      </c>
      <c r="M368" s="1">
        <v>0.0</v>
      </c>
      <c r="N368" s="1">
        <v>112.0</v>
      </c>
      <c r="O368" s="1">
        <v>1328.0</v>
      </c>
      <c r="P368" s="1">
        <v>2360.0</v>
      </c>
    </row>
    <row r="369">
      <c r="A369" s="1">
        <v>8.583815059E9</v>
      </c>
      <c r="B369" s="2">
        <v>42433.0</v>
      </c>
      <c r="C369" s="2" t="str">
        <f t="shared" si="1"/>
        <v>Friday</v>
      </c>
      <c r="D369" s="1">
        <v>2380.0</v>
      </c>
      <c r="E369" s="1">
        <v>1.86000001430511</v>
      </c>
      <c r="F369" s="1">
        <v>1.86000001430511</v>
      </c>
      <c r="G369" s="1">
        <v>0.0</v>
      </c>
      <c r="H369" s="1">
        <v>0.0</v>
      </c>
      <c r="I369" s="1">
        <v>0.0</v>
      </c>
      <c r="J369" s="1">
        <v>1.86000001430511</v>
      </c>
      <c r="K369" s="1">
        <v>0.0</v>
      </c>
      <c r="L369" s="1">
        <v>0.0</v>
      </c>
      <c r="M369" s="1">
        <v>0.0</v>
      </c>
      <c r="N369" s="1">
        <v>131.0</v>
      </c>
      <c r="O369" s="1">
        <v>1309.0</v>
      </c>
      <c r="P369" s="1">
        <v>2400.0</v>
      </c>
    </row>
    <row r="370">
      <c r="A370" s="1">
        <v>8.583815059E9</v>
      </c>
      <c r="B370" s="2">
        <v>42555.0</v>
      </c>
      <c r="C370" s="2" t="str">
        <f t="shared" si="1"/>
        <v>Monday</v>
      </c>
      <c r="D370" s="1">
        <v>2816.0</v>
      </c>
      <c r="E370" s="1">
        <v>2.20000004768372</v>
      </c>
      <c r="F370" s="1">
        <v>2.20000004768372</v>
      </c>
      <c r="G370" s="1">
        <v>0.0</v>
      </c>
      <c r="H370" s="1">
        <v>0.0</v>
      </c>
      <c r="I370" s="1">
        <v>0.0</v>
      </c>
      <c r="J370" s="1">
        <v>2.20000004768372</v>
      </c>
      <c r="K370" s="1">
        <v>0.0</v>
      </c>
      <c r="L370" s="1">
        <v>0.0</v>
      </c>
      <c r="M370" s="1">
        <v>0.0</v>
      </c>
      <c r="N370" s="1">
        <v>138.0</v>
      </c>
      <c r="O370" s="1">
        <v>1302.0</v>
      </c>
      <c r="P370" s="1">
        <v>2437.0</v>
      </c>
    </row>
    <row r="371">
      <c r="A371" s="1">
        <v>8.583815059E9</v>
      </c>
      <c r="B371" s="2">
        <v>42464.0</v>
      </c>
      <c r="C371" s="2" t="str">
        <f t="shared" si="1"/>
        <v>Monday</v>
      </c>
      <c r="D371" s="1">
        <v>3159.0</v>
      </c>
      <c r="E371" s="1">
        <v>2.46000003814697</v>
      </c>
      <c r="F371" s="1">
        <v>2.46000003814697</v>
      </c>
      <c r="G371" s="1">
        <v>0.0</v>
      </c>
      <c r="H371" s="1">
        <v>0.0</v>
      </c>
      <c r="I371" s="1">
        <v>0.0</v>
      </c>
      <c r="J371" s="1">
        <v>2.46000003814697</v>
      </c>
      <c r="K371" s="1">
        <v>0.0</v>
      </c>
      <c r="L371" s="1">
        <v>0.0</v>
      </c>
      <c r="M371" s="1">
        <v>0.0</v>
      </c>
      <c r="N371" s="1">
        <v>147.0</v>
      </c>
      <c r="O371" s="1">
        <v>1293.0</v>
      </c>
      <c r="P371" s="1">
        <v>2462.0</v>
      </c>
    </row>
    <row r="372">
      <c r="A372" s="1">
        <v>8.583815059E9</v>
      </c>
      <c r="B372" s="2">
        <v>42404.0</v>
      </c>
      <c r="C372" s="2" t="str">
        <f t="shared" si="1"/>
        <v>Thursday</v>
      </c>
      <c r="D372" s="1">
        <v>3494.0</v>
      </c>
      <c r="E372" s="1">
        <v>2.73000001907349</v>
      </c>
      <c r="F372" s="1">
        <v>2.73000001907349</v>
      </c>
      <c r="G372" s="1">
        <v>0.0</v>
      </c>
      <c r="H372" s="1">
        <v>0.0</v>
      </c>
      <c r="I372" s="1">
        <v>0.0</v>
      </c>
      <c r="J372" s="1">
        <v>2.69000005722046</v>
      </c>
      <c r="K372" s="1">
        <v>0.0</v>
      </c>
      <c r="L372" s="1">
        <v>0.0</v>
      </c>
      <c r="M372" s="1">
        <v>0.0</v>
      </c>
      <c r="N372" s="1">
        <v>166.0</v>
      </c>
      <c r="O372" s="1">
        <v>1274.0</v>
      </c>
      <c r="P372" s="1">
        <v>2517.0</v>
      </c>
    </row>
    <row r="373">
      <c r="A373" s="1">
        <v>8.583815059E9</v>
      </c>
      <c r="B373" s="2">
        <v>42494.0</v>
      </c>
      <c r="C373" s="2" t="str">
        <f t="shared" si="1"/>
        <v>Wednesday</v>
      </c>
      <c r="D373" s="1">
        <v>6835.0</v>
      </c>
      <c r="E373" s="1">
        <v>5.32999992370605</v>
      </c>
      <c r="F373" s="1">
        <v>5.32999992370605</v>
      </c>
      <c r="G373" s="1">
        <v>0.0</v>
      </c>
      <c r="H373" s="1">
        <v>0.370000004768372</v>
      </c>
      <c r="I373" s="1">
        <v>0.730000019073486</v>
      </c>
      <c r="J373" s="1">
        <v>4.23999977111816</v>
      </c>
      <c r="K373" s="1">
        <v>0.0</v>
      </c>
      <c r="L373" s="1">
        <v>5.0</v>
      </c>
      <c r="M373" s="1">
        <v>15.0</v>
      </c>
      <c r="N373" s="1">
        <v>212.0</v>
      </c>
      <c r="O373" s="1">
        <v>1208.0</v>
      </c>
      <c r="P373" s="1">
        <v>2786.0</v>
      </c>
    </row>
    <row r="374">
      <c r="A374" s="1">
        <v>8.792009665E9</v>
      </c>
      <c r="B374" s="2">
        <v>42708.0</v>
      </c>
      <c r="C374" s="2" t="str">
        <f t="shared" si="1"/>
        <v>Sunday</v>
      </c>
      <c r="D374" s="1">
        <v>20.0</v>
      </c>
      <c r="E374" s="1">
        <v>0.00999999977648258</v>
      </c>
      <c r="F374" s="1">
        <v>0.00999999977648258</v>
      </c>
      <c r="G374" s="1">
        <v>0.0</v>
      </c>
      <c r="H374" s="1">
        <v>0.0</v>
      </c>
      <c r="I374" s="1">
        <v>0.0</v>
      </c>
      <c r="J374" s="1">
        <v>0.00999999977648258</v>
      </c>
      <c r="K374" s="1">
        <v>0.0</v>
      </c>
      <c r="L374" s="1">
        <v>0.0</v>
      </c>
      <c r="M374" s="1">
        <v>0.0</v>
      </c>
      <c r="N374" s="1">
        <v>6.0</v>
      </c>
      <c r="O374" s="1">
        <v>598.0</v>
      </c>
      <c r="P374" s="1">
        <v>728.0</v>
      </c>
    </row>
    <row r="375">
      <c r="A375" s="1">
        <v>8.792009665E9</v>
      </c>
      <c r="B375" s="2">
        <v>42678.0</v>
      </c>
      <c r="C375" s="2" t="str">
        <f t="shared" si="1"/>
        <v>Friday</v>
      </c>
      <c r="D375" s="1">
        <v>178.0</v>
      </c>
      <c r="E375" s="1">
        <v>0.109999999403954</v>
      </c>
      <c r="F375" s="1">
        <v>0.109999999403954</v>
      </c>
      <c r="G375" s="1">
        <v>0.0</v>
      </c>
      <c r="H375" s="1">
        <v>0.0</v>
      </c>
      <c r="I375" s="1">
        <v>0.0</v>
      </c>
      <c r="J375" s="1">
        <v>0.109999999403954</v>
      </c>
      <c r="K375" s="1">
        <v>0.0</v>
      </c>
      <c r="L375" s="1">
        <v>0.0</v>
      </c>
      <c r="M375" s="1">
        <v>0.0</v>
      </c>
      <c r="N375" s="1">
        <v>12.0</v>
      </c>
      <c r="O375" s="1">
        <v>1428.0</v>
      </c>
      <c r="P375" s="1">
        <v>1725.0</v>
      </c>
    </row>
    <row r="376">
      <c r="A376" s="1">
        <v>8.792009665E9</v>
      </c>
      <c r="B376" s="2">
        <v>42617.0</v>
      </c>
      <c r="C376" s="2" t="str">
        <f t="shared" si="1"/>
        <v>Sunday</v>
      </c>
      <c r="D376" s="1">
        <v>1022.0</v>
      </c>
      <c r="E376" s="1">
        <v>0.649999976158142</v>
      </c>
      <c r="F376" s="1">
        <v>0.649999976158142</v>
      </c>
      <c r="G376" s="1">
        <v>0.0</v>
      </c>
      <c r="H376" s="1">
        <v>0.0</v>
      </c>
      <c r="I376" s="1">
        <v>0.0</v>
      </c>
      <c r="J376" s="1">
        <v>0.649999976158142</v>
      </c>
      <c r="K376" s="1">
        <v>0.0</v>
      </c>
      <c r="L376" s="1">
        <v>0.0</v>
      </c>
      <c r="M376" s="1">
        <v>0.0</v>
      </c>
      <c r="N376" s="1">
        <v>63.0</v>
      </c>
      <c r="O376" s="1">
        <v>739.0</v>
      </c>
      <c r="P376" s="1">
        <v>1890.0</v>
      </c>
    </row>
    <row r="377">
      <c r="A377" s="1">
        <v>8.792009665E9</v>
      </c>
      <c r="B377" s="2">
        <v>42555.0</v>
      </c>
      <c r="C377" s="2" t="str">
        <f t="shared" si="1"/>
        <v>Monday</v>
      </c>
      <c r="D377" s="1">
        <v>1291.0</v>
      </c>
      <c r="E377" s="1">
        <v>0.829999983310699</v>
      </c>
      <c r="F377" s="1">
        <v>0.829999983310699</v>
      </c>
      <c r="G377" s="1">
        <v>0.0</v>
      </c>
      <c r="H377" s="1">
        <v>0.0</v>
      </c>
      <c r="I377" s="1">
        <v>0.0</v>
      </c>
      <c r="J377" s="1">
        <v>0.829999983310699</v>
      </c>
      <c r="K377" s="1">
        <v>0.0</v>
      </c>
      <c r="L377" s="1">
        <v>0.0</v>
      </c>
      <c r="M377" s="1">
        <v>0.0</v>
      </c>
      <c r="N377" s="1">
        <v>77.0</v>
      </c>
      <c r="O377" s="1">
        <v>888.0</v>
      </c>
      <c r="P377" s="1">
        <v>1961.0</v>
      </c>
    </row>
    <row r="378">
      <c r="A378" s="1">
        <v>8.792009665E9</v>
      </c>
      <c r="B378" s="2">
        <v>42586.0</v>
      </c>
      <c r="C378" s="2" t="str">
        <f t="shared" si="1"/>
        <v>Thursday</v>
      </c>
      <c r="D378" s="1">
        <v>1467.0</v>
      </c>
      <c r="E378" s="1">
        <v>0.939999997615814</v>
      </c>
      <c r="F378" s="1">
        <v>0.939999997615814</v>
      </c>
      <c r="G378" s="1">
        <v>0.0</v>
      </c>
      <c r="H378" s="1">
        <v>0.100000001490116</v>
      </c>
      <c r="I378" s="1">
        <v>0.209999993443489</v>
      </c>
      <c r="J378" s="1">
        <v>0.629999995231628</v>
      </c>
      <c r="K378" s="1">
        <v>0.0</v>
      </c>
      <c r="L378" s="1">
        <v>2.0</v>
      </c>
      <c r="M378" s="1">
        <v>8.0</v>
      </c>
      <c r="N378" s="1">
        <v>71.0</v>
      </c>
      <c r="O378" s="1">
        <v>912.0</v>
      </c>
      <c r="P378" s="1">
        <v>1953.0</v>
      </c>
    </row>
    <row r="379">
      <c r="A379" s="1">
        <v>8.792009665E9</v>
      </c>
      <c r="B379" s="2">
        <v>42525.0</v>
      </c>
      <c r="C379" s="2" t="str">
        <f t="shared" si="1"/>
        <v>Saturday</v>
      </c>
      <c r="D379" s="1">
        <v>2121.0</v>
      </c>
      <c r="E379" s="1">
        <v>1.36000001430511</v>
      </c>
      <c r="F379" s="1">
        <v>1.36000001430511</v>
      </c>
      <c r="G379" s="1">
        <v>0.0</v>
      </c>
      <c r="H379" s="1">
        <v>0.0</v>
      </c>
      <c r="I379" s="1">
        <v>0.0</v>
      </c>
      <c r="J379" s="1">
        <v>1.36000001430511</v>
      </c>
      <c r="K379" s="1">
        <v>0.0</v>
      </c>
      <c r="L379" s="1">
        <v>0.0</v>
      </c>
      <c r="M379" s="1">
        <v>0.0</v>
      </c>
      <c r="N379" s="1">
        <v>122.0</v>
      </c>
      <c r="O379" s="1">
        <v>855.0</v>
      </c>
      <c r="P379" s="1">
        <v>2114.0</v>
      </c>
    </row>
    <row r="380">
      <c r="A380" s="1">
        <v>8.792009665E9</v>
      </c>
      <c r="B380" s="2">
        <v>42494.0</v>
      </c>
      <c r="C380" s="2" t="str">
        <f t="shared" si="1"/>
        <v>Wednesday</v>
      </c>
      <c r="D380" s="1">
        <v>2332.0</v>
      </c>
      <c r="E380" s="1">
        <v>1.49000000953674</v>
      </c>
      <c r="F380" s="1">
        <v>1.49000000953674</v>
      </c>
      <c r="G380" s="1">
        <v>0.0</v>
      </c>
      <c r="H380" s="1">
        <v>0.00999999977648258</v>
      </c>
      <c r="I380" s="1">
        <v>0.180000007152557</v>
      </c>
      <c r="J380" s="1">
        <v>1.29999995231628</v>
      </c>
      <c r="K380" s="1">
        <v>0.0</v>
      </c>
      <c r="L380" s="1">
        <v>1.0</v>
      </c>
      <c r="M380" s="1">
        <v>10.0</v>
      </c>
      <c r="N380" s="1">
        <v>111.0</v>
      </c>
      <c r="O380" s="1">
        <v>904.0</v>
      </c>
      <c r="P380" s="1">
        <v>2100.0</v>
      </c>
    </row>
    <row r="381">
      <c r="A381" s="1">
        <v>8.792009665E9</v>
      </c>
      <c r="B381" s="2">
        <v>42464.0</v>
      </c>
      <c r="C381" s="2" t="str">
        <f t="shared" si="1"/>
        <v>Monday</v>
      </c>
      <c r="D381" s="1">
        <v>3821.0</v>
      </c>
      <c r="E381" s="1">
        <v>2.45000004768372</v>
      </c>
      <c r="F381" s="1">
        <v>2.45000004768372</v>
      </c>
      <c r="G381" s="1">
        <v>0.0</v>
      </c>
      <c r="H381" s="1">
        <v>0.0</v>
      </c>
      <c r="I381" s="1">
        <v>0.219999998807907</v>
      </c>
      <c r="J381" s="1">
        <v>2.23000001907349</v>
      </c>
      <c r="K381" s="1">
        <v>0.0</v>
      </c>
      <c r="L381" s="1">
        <v>0.0</v>
      </c>
      <c r="M381" s="1">
        <v>9.0</v>
      </c>
      <c r="N381" s="1">
        <v>161.0</v>
      </c>
      <c r="O381" s="1">
        <v>675.0</v>
      </c>
      <c r="P381" s="1">
        <v>2229.0</v>
      </c>
    </row>
    <row r="382">
      <c r="A382" s="1">
        <v>8.792009665E9</v>
      </c>
      <c r="B382" s="2">
        <v>42373.0</v>
      </c>
      <c r="C382" s="2" t="str">
        <f t="shared" si="1"/>
        <v>Monday</v>
      </c>
      <c r="D382" s="1">
        <v>4592.0</v>
      </c>
      <c r="E382" s="1">
        <v>2.94000005722046</v>
      </c>
      <c r="F382" s="1">
        <v>2.94000005722046</v>
      </c>
      <c r="G382" s="1">
        <v>0.0</v>
      </c>
      <c r="H382" s="1">
        <v>0.100000001490116</v>
      </c>
      <c r="I382" s="1">
        <v>0.140000000596046</v>
      </c>
      <c r="J382" s="1">
        <v>2.70000004768372</v>
      </c>
      <c r="K382" s="1">
        <v>0.0</v>
      </c>
      <c r="L382" s="1">
        <v>4.0</v>
      </c>
      <c r="M382" s="1">
        <v>8.0</v>
      </c>
      <c r="N382" s="1">
        <v>176.0</v>
      </c>
      <c r="O382" s="1">
        <v>748.0</v>
      </c>
      <c r="P382" s="1">
        <v>2260.0</v>
      </c>
    </row>
    <row r="383">
      <c r="A383" s="1">
        <v>8.792009665E9</v>
      </c>
      <c r="B383" s="2">
        <v>42647.0</v>
      </c>
      <c r="C383" s="2" t="str">
        <f t="shared" si="1"/>
        <v>Tuesday</v>
      </c>
      <c r="D383" s="1">
        <v>4605.0</v>
      </c>
      <c r="E383" s="1">
        <v>2.95000004768372</v>
      </c>
      <c r="F383" s="1">
        <v>2.95000004768372</v>
      </c>
      <c r="G383" s="1">
        <v>0.0</v>
      </c>
      <c r="H383" s="1">
        <v>0.0</v>
      </c>
      <c r="I383" s="1">
        <v>0.0</v>
      </c>
      <c r="J383" s="1">
        <v>2.95000004768372</v>
      </c>
      <c r="K383" s="1">
        <v>0.0</v>
      </c>
      <c r="L383" s="1">
        <v>0.0</v>
      </c>
      <c r="M383" s="1">
        <v>0.0</v>
      </c>
      <c r="N383" s="1">
        <v>179.0</v>
      </c>
      <c r="O383" s="1">
        <v>1261.0</v>
      </c>
      <c r="P383" s="1">
        <v>2253.0</v>
      </c>
    </row>
    <row r="384">
      <c r="A384" s="1">
        <v>8.792009665E9</v>
      </c>
      <c r="B384" s="2">
        <v>42433.0</v>
      </c>
      <c r="C384" s="2" t="str">
        <f t="shared" si="1"/>
        <v>Friday</v>
      </c>
      <c r="D384" s="1">
        <v>7238.0</v>
      </c>
      <c r="E384" s="1">
        <v>4.63000011444092</v>
      </c>
      <c r="F384" s="1">
        <v>4.63000011444092</v>
      </c>
      <c r="G384" s="1">
        <v>0.0</v>
      </c>
      <c r="H384" s="1">
        <v>0.109999999403954</v>
      </c>
      <c r="I384" s="1">
        <v>0.230000004172325</v>
      </c>
      <c r="J384" s="1">
        <v>4.28999996185303</v>
      </c>
      <c r="K384" s="1">
        <v>0.0</v>
      </c>
      <c r="L384" s="1">
        <v>2.0</v>
      </c>
      <c r="M384" s="1">
        <v>6.0</v>
      </c>
      <c r="N384" s="1">
        <v>279.0</v>
      </c>
      <c r="O384" s="1">
        <v>636.0</v>
      </c>
      <c r="P384" s="1">
        <v>2667.0</v>
      </c>
    </row>
    <row r="385">
      <c r="A385" s="1">
        <v>8.792009665E9</v>
      </c>
      <c r="B385" s="2">
        <v>42404.0</v>
      </c>
      <c r="C385" s="2" t="str">
        <f t="shared" si="1"/>
        <v>Thursday</v>
      </c>
      <c r="D385" s="1">
        <v>8452.0</v>
      </c>
      <c r="E385" s="1">
        <v>5.40999984741211</v>
      </c>
      <c r="F385" s="1">
        <v>5.40999984741211</v>
      </c>
      <c r="G385" s="1">
        <v>0.0</v>
      </c>
      <c r="H385" s="1">
        <v>0.259999990463257</v>
      </c>
      <c r="I385" s="1">
        <v>0.389999985694885</v>
      </c>
      <c r="J385" s="1">
        <v>4.76000022888184</v>
      </c>
      <c r="K385" s="1">
        <v>0.0</v>
      </c>
      <c r="L385" s="1">
        <v>9.0</v>
      </c>
      <c r="M385" s="1">
        <v>24.0</v>
      </c>
      <c r="N385" s="1">
        <v>328.0</v>
      </c>
      <c r="O385" s="1">
        <v>1079.0</v>
      </c>
      <c r="P385" s="1">
        <v>3004.0</v>
      </c>
    </row>
    <row r="386">
      <c r="A386" s="1">
        <v>8.877689391E9</v>
      </c>
      <c r="B386" s="2">
        <v>42708.0</v>
      </c>
      <c r="C386" s="2" t="str">
        <f t="shared" si="1"/>
        <v>Sunday</v>
      </c>
      <c r="D386" s="1">
        <v>2350.0</v>
      </c>
      <c r="E386" s="1">
        <v>1.77999997138977</v>
      </c>
      <c r="F386" s="1">
        <v>1.77999997138977</v>
      </c>
      <c r="G386" s="1">
        <v>0.0</v>
      </c>
      <c r="H386" s="1">
        <v>0.0</v>
      </c>
      <c r="I386" s="1">
        <v>0.0</v>
      </c>
      <c r="J386" s="1">
        <v>1.77999997138977</v>
      </c>
      <c r="K386" s="1">
        <v>0.0</v>
      </c>
      <c r="L386" s="1">
        <v>0.0</v>
      </c>
      <c r="M386" s="1">
        <v>0.0</v>
      </c>
      <c r="N386" s="1">
        <v>58.0</v>
      </c>
      <c r="O386" s="1">
        <v>531.0</v>
      </c>
      <c r="P386" s="1">
        <v>938.0</v>
      </c>
    </row>
    <row r="387">
      <c r="A387" s="1">
        <v>8.877689391E9</v>
      </c>
      <c r="B387" s="2">
        <v>42678.0</v>
      </c>
      <c r="C387" s="2" t="str">
        <f t="shared" si="1"/>
        <v>Friday</v>
      </c>
      <c r="D387" s="1">
        <v>10622.0</v>
      </c>
      <c r="E387" s="1">
        <v>8.0600004196167</v>
      </c>
      <c r="F387" s="1">
        <v>8.0600004196167</v>
      </c>
      <c r="G387" s="1">
        <v>0.0</v>
      </c>
      <c r="H387" s="1">
        <v>1.47000002861023</v>
      </c>
      <c r="I387" s="1">
        <v>0.150000005960464</v>
      </c>
      <c r="J387" s="1">
        <v>6.36999988555908</v>
      </c>
      <c r="K387" s="1">
        <v>0.00999999977648258</v>
      </c>
      <c r="L387" s="1">
        <v>18.0</v>
      </c>
      <c r="M387" s="1">
        <v>7.0</v>
      </c>
      <c r="N387" s="1">
        <v>225.0</v>
      </c>
      <c r="O387" s="1">
        <v>1190.0</v>
      </c>
      <c r="P387" s="1">
        <v>2820.0</v>
      </c>
    </row>
    <row r="388">
      <c r="A388" s="1">
        <v>8.877689391E9</v>
      </c>
      <c r="B388" s="2">
        <v>42494.0</v>
      </c>
      <c r="C388" s="2" t="str">
        <f t="shared" si="1"/>
        <v>Wednesday</v>
      </c>
      <c r="D388" s="1">
        <v>10695.0</v>
      </c>
      <c r="E388" s="1">
        <v>8.11999988555908</v>
      </c>
      <c r="F388" s="1">
        <v>8.11999988555908</v>
      </c>
      <c r="G388" s="1">
        <v>0.0</v>
      </c>
      <c r="H388" s="1">
        <v>0.769999980926514</v>
      </c>
      <c r="I388" s="1">
        <v>0.180000007152557</v>
      </c>
      <c r="J388" s="1">
        <v>7.09000015258789</v>
      </c>
      <c r="K388" s="1">
        <v>0.00999999977648258</v>
      </c>
      <c r="L388" s="1">
        <v>10.0</v>
      </c>
      <c r="M388" s="1">
        <v>3.0</v>
      </c>
      <c r="N388" s="1">
        <v>246.0</v>
      </c>
      <c r="O388" s="1">
        <v>1181.0</v>
      </c>
      <c r="P388" s="1">
        <v>2834.0</v>
      </c>
    </row>
    <row r="389">
      <c r="A389" s="1">
        <v>8.877689391E9</v>
      </c>
      <c r="B389" s="2">
        <v>42555.0</v>
      </c>
      <c r="C389" s="2" t="str">
        <f t="shared" si="1"/>
        <v>Monday</v>
      </c>
      <c r="D389" s="1">
        <v>10910.0</v>
      </c>
      <c r="E389" s="1">
        <v>8.42000007629395</v>
      </c>
      <c r="F389" s="1">
        <v>8.42000007629395</v>
      </c>
      <c r="G389" s="1">
        <v>0.0</v>
      </c>
      <c r="H389" s="1">
        <v>2.96000003814697</v>
      </c>
      <c r="I389" s="1">
        <v>0.389999985694885</v>
      </c>
      <c r="J389" s="1">
        <v>5.03000020980835</v>
      </c>
      <c r="K389" s="1">
        <v>0.0</v>
      </c>
      <c r="L389" s="1">
        <v>32.0</v>
      </c>
      <c r="M389" s="1">
        <v>11.0</v>
      </c>
      <c r="N389" s="1">
        <v>212.0</v>
      </c>
      <c r="O389" s="1">
        <v>1185.0</v>
      </c>
      <c r="P389" s="1">
        <v>2947.0</v>
      </c>
    </row>
    <row r="390">
      <c r="A390" s="1">
        <v>8.877689391E9</v>
      </c>
      <c r="B390" s="2">
        <v>42433.0</v>
      </c>
      <c r="C390" s="2" t="str">
        <f t="shared" si="1"/>
        <v>Friday</v>
      </c>
      <c r="D390" s="1">
        <v>15260.0</v>
      </c>
      <c r="E390" s="1">
        <v>8.1899995803833</v>
      </c>
      <c r="F390" s="1">
        <v>8.1899995803833</v>
      </c>
      <c r="G390" s="1">
        <v>0.0</v>
      </c>
      <c r="H390" s="1">
        <v>1.79999995231628</v>
      </c>
      <c r="I390" s="1">
        <v>0.75</v>
      </c>
      <c r="J390" s="1">
        <v>5.57000017166138</v>
      </c>
      <c r="K390" s="1">
        <v>0.0</v>
      </c>
      <c r="L390" s="1">
        <v>106.0</v>
      </c>
      <c r="M390" s="1">
        <v>17.0</v>
      </c>
      <c r="N390" s="1">
        <v>259.0</v>
      </c>
      <c r="O390" s="1">
        <v>1058.0</v>
      </c>
      <c r="P390" s="1">
        <v>3864.0</v>
      </c>
    </row>
    <row r="391">
      <c r="A391" s="1">
        <v>8.877689391E9</v>
      </c>
      <c r="B391" s="2">
        <v>42617.0</v>
      </c>
      <c r="C391" s="2" t="str">
        <f t="shared" si="1"/>
        <v>Sunday</v>
      </c>
      <c r="D391" s="1">
        <v>16470.0</v>
      </c>
      <c r="E391" s="1">
        <v>8.06999969482422</v>
      </c>
      <c r="F391" s="1">
        <v>8.06999969482422</v>
      </c>
      <c r="G391" s="1">
        <v>0.0</v>
      </c>
      <c r="H391" s="1">
        <v>0.0</v>
      </c>
      <c r="I391" s="1">
        <v>0.0199999995529652</v>
      </c>
      <c r="J391" s="1">
        <v>8.02000045776367</v>
      </c>
      <c r="K391" s="1">
        <v>0.0</v>
      </c>
      <c r="L391" s="1">
        <v>90.0</v>
      </c>
      <c r="M391" s="1">
        <v>9.0</v>
      </c>
      <c r="N391" s="1">
        <v>289.0</v>
      </c>
      <c r="O391" s="1">
        <v>1052.0</v>
      </c>
      <c r="P391" s="1">
        <v>3841.0</v>
      </c>
    </row>
    <row r="392">
      <c r="A392" s="1">
        <v>8.877689391E9</v>
      </c>
      <c r="B392" s="2">
        <v>42373.0</v>
      </c>
      <c r="C392" s="2" t="str">
        <f t="shared" si="1"/>
        <v>Monday</v>
      </c>
      <c r="D392" s="1">
        <v>18700.0</v>
      </c>
      <c r="E392" s="1">
        <v>15.8199996948242</v>
      </c>
      <c r="F392" s="1">
        <v>15.8199996948242</v>
      </c>
      <c r="G392" s="1">
        <v>0.0</v>
      </c>
      <c r="H392" s="1">
        <v>8.69999980926514</v>
      </c>
      <c r="I392" s="1">
        <v>0.159999996423721</v>
      </c>
      <c r="J392" s="1">
        <v>6.90999984741211</v>
      </c>
      <c r="K392" s="1">
        <v>0.0</v>
      </c>
      <c r="L392" s="1">
        <v>67.0</v>
      </c>
      <c r="M392" s="1">
        <v>3.0</v>
      </c>
      <c r="N392" s="1">
        <v>247.0</v>
      </c>
      <c r="O392" s="1">
        <v>1123.0</v>
      </c>
      <c r="P392" s="1">
        <v>3527.0</v>
      </c>
    </row>
    <row r="393">
      <c r="A393" s="1">
        <v>8.877689391E9</v>
      </c>
      <c r="B393" s="2">
        <v>42464.0</v>
      </c>
      <c r="C393" s="2" t="str">
        <f t="shared" si="1"/>
        <v>Monday</v>
      </c>
      <c r="D393" s="1">
        <v>20779.0</v>
      </c>
      <c r="E393" s="1">
        <v>18.4099998474121</v>
      </c>
      <c r="F393" s="1">
        <v>18.4099998474121</v>
      </c>
      <c r="G393" s="1">
        <v>0.0</v>
      </c>
      <c r="H393" s="1">
        <v>11.7299995422363</v>
      </c>
      <c r="I393" s="1">
        <v>0.649999976158142</v>
      </c>
      <c r="J393" s="1">
        <v>6.0</v>
      </c>
      <c r="K393" s="1">
        <v>0.0</v>
      </c>
      <c r="L393" s="1">
        <v>78.0</v>
      </c>
      <c r="M393" s="1">
        <v>16.0</v>
      </c>
      <c r="N393" s="1">
        <v>208.0</v>
      </c>
      <c r="O393" s="1">
        <v>1138.0</v>
      </c>
      <c r="P393" s="1">
        <v>3662.0</v>
      </c>
    </row>
    <row r="394">
      <c r="A394" s="1">
        <v>8.877689391E9</v>
      </c>
      <c r="B394" s="2">
        <v>42586.0</v>
      </c>
      <c r="C394" s="2" t="str">
        <f t="shared" si="1"/>
        <v>Thursday</v>
      </c>
      <c r="D394" s="1">
        <v>23014.0</v>
      </c>
      <c r="E394" s="1">
        <v>20.3899993896484</v>
      </c>
      <c r="F394" s="1">
        <v>20.3899993896484</v>
      </c>
      <c r="G394" s="1">
        <v>0.0</v>
      </c>
      <c r="H394" s="1">
        <v>11.1000003814697</v>
      </c>
      <c r="I394" s="1">
        <v>0.629999995231628</v>
      </c>
      <c r="J394" s="1">
        <v>8.61999988555908</v>
      </c>
      <c r="K394" s="1">
        <v>0.0</v>
      </c>
      <c r="L394" s="1">
        <v>70.0</v>
      </c>
      <c r="M394" s="1">
        <v>29.0</v>
      </c>
      <c r="N394" s="1">
        <v>359.0</v>
      </c>
      <c r="O394" s="1">
        <v>982.0</v>
      </c>
      <c r="P394" s="1">
        <v>4196.0</v>
      </c>
    </row>
    <row r="395">
      <c r="A395" s="1">
        <v>8.877689391E9</v>
      </c>
      <c r="B395" s="2">
        <v>42525.0</v>
      </c>
      <c r="C395" s="2" t="str">
        <f t="shared" si="1"/>
        <v>Saturday</v>
      </c>
      <c r="D395" s="1">
        <v>24136.0</v>
      </c>
      <c r="E395" s="1">
        <v>20.9099998474121</v>
      </c>
      <c r="F395" s="1">
        <v>20.9099998474121</v>
      </c>
      <c r="G395" s="1">
        <v>0.0</v>
      </c>
      <c r="H395" s="1">
        <v>12.2200002670288</v>
      </c>
      <c r="I395" s="1">
        <v>0.540000021457672</v>
      </c>
      <c r="J395" s="1">
        <v>8.07999992370605</v>
      </c>
      <c r="K395" s="1">
        <v>0.0</v>
      </c>
      <c r="L395" s="1">
        <v>87.0</v>
      </c>
      <c r="M395" s="1">
        <v>16.0</v>
      </c>
      <c r="N395" s="1">
        <v>318.0</v>
      </c>
      <c r="O395" s="1">
        <v>1019.0</v>
      </c>
      <c r="P395" s="1">
        <v>4039.0</v>
      </c>
    </row>
    <row r="396">
      <c r="A396" s="1">
        <v>8.877689391E9</v>
      </c>
      <c r="B396" s="2">
        <v>42404.0</v>
      </c>
      <c r="C396" s="2" t="str">
        <f t="shared" si="1"/>
        <v>Thursday</v>
      </c>
      <c r="D396" s="1">
        <v>27572.0</v>
      </c>
      <c r="E396" s="1">
        <v>23.3899993896484</v>
      </c>
      <c r="F396" s="1">
        <v>23.3899993896484</v>
      </c>
      <c r="G396" s="1">
        <v>0.0</v>
      </c>
      <c r="H396" s="1">
        <v>14.7200002670288</v>
      </c>
      <c r="I396" s="1">
        <v>1.21000003814697</v>
      </c>
      <c r="J396" s="1">
        <v>7.34000015258789</v>
      </c>
      <c r="K396" s="1">
        <v>0.00999999977648258</v>
      </c>
      <c r="L396" s="1">
        <v>116.0</v>
      </c>
      <c r="M396" s="1">
        <v>24.0</v>
      </c>
      <c r="N396" s="1">
        <v>260.0</v>
      </c>
      <c r="O396" s="1">
        <v>1040.0</v>
      </c>
      <c r="P396" s="1">
        <v>4220.0</v>
      </c>
    </row>
    <row r="397">
      <c r="A397" s="1">
        <v>8.877689391E9</v>
      </c>
      <c r="B397" s="2">
        <v>42647.0</v>
      </c>
      <c r="C397" s="2" t="str">
        <f t="shared" si="1"/>
        <v>Tuesday</v>
      </c>
      <c r="D397" s="1">
        <v>28497.0</v>
      </c>
      <c r="E397" s="1">
        <v>27.5300006866455</v>
      </c>
      <c r="F397" s="1">
        <v>27.5300006866455</v>
      </c>
      <c r="G397" s="1">
        <v>0.0</v>
      </c>
      <c r="H397" s="1">
        <v>21.9200000762939</v>
      </c>
      <c r="I397" s="1">
        <v>1.12000000476837</v>
      </c>
      <c r="J397" s="1">
        <v>4.46000003814697</v>
      </c>
      <c r="K397" s="1">
        <v>0.0</v>
      </c>
      <c r="L397" s="1">
        <v>128.0</v>
      </c>
      <c r="M397" s="1">
        <v>46.0</v>
      </c>
      <c r="N397" s="1">
        <v>211.0</v>
      </c>
      <c r="O397" s="1">
        <v>1055.0</v>
      </c>
      <c r="P397" s="1">
        <v>4526.0</v>
      </c>
    </row>
  </sheetData>
  <autoFilter ref="$A$1:$AA$397">
    <sortState ref="A1:AA397">
      <sortCondition ref="A1:A397"/>
      <sortCondition ref="D1:D397"/>
      <sortCondition ref="C1:C397"/>
      <sortCondition descending="1" ref="B1:B39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>
      <c r="K6" s="1" t="s">
        <v>38</v>
      </c>
      <c r="L6" s="3">
        <f>COUNTIF(B:B,"&lt;5000")</f>
        <v>12</v>
      </c>
    </row>
    <row r="7">
      <c r="K7" s="1" t="s">
        <v>39</v>
      </c>
      <c r="L7" s="3">
        <f>COUNTIFS(B:B,"&gt;=5000",B:B,"&lt;7500")</f>
        <v>6</v>
      </c>
    </row>
    <row r="8">
      <c r="K8" s="1" t="s">
        <v>40</v>
      </c>
      <c r="L8" s="3">
        <f>COUNTIFS(B:B,"&gt;=7500",B:B,"&lt;10000")</f>
        <v>9</v>
      </c>
    </row>
    <row r="9">
      <c r="K9" s="1" t="s">
        <v>41</v>
      </c>
      <c r="L9" s="3">
        <f>COUNTIF(B:B,"&gt;=10000")</f>
        <v>8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autoFilter ref="$A$1:$Z$37">
    <sortState ref="A1:Z37">
      <sortCondition descending="1" ref="B1:B37"/>
    </sortState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t="19.5" hidden="1" customHeight="1"/>
    <row r="3"/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>
      <c r="E5" s="3">
        <f>COUNTIF(B:B,"&lt;5000")</f>
        <v>12</v>
      </c>
    </row>
    <row r="6">
      <c r="E6" s="3">
        <f>COUNTIF(B:B,AND("&gt;=5000","&lt;7499"))</f>
        <v>0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drawing r:id="rId2"/>
</worksheet>
</file>